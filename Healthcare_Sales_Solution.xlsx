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cel\Session 2\"/>
    </mc:Choice>
  </mc:AlternateContent>
  <bookViews>
    <workbookView xWindow="28680" yWindow="-120" windowWidth="29040" windowHeight="15720"/>
  </bookViews>
  <sheets>
    <sheet name="Healthcare_Sales_Dataset" sheetId="1" r:id="rId1"/>
    <sheet name="Assessment Guidelines" sheetId="2" r:id="rId2"/>
    <sheet name="Solution" sheetId="4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PukhpphWiDOyCc8omDyKpua3GvJsIGU6jm6+ClKqTGE="/>
    </ext>
  </extLst>
</workbook>
</file>

<file path=xl/calcChain.xml><?xml version="1.0" encoding="utf-8"?>
<calcChain xmlns="http://schemas.openxmlformats.org/spreadsheetml/2006/main">
  <c r="S2" i="1" l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" i="1"/>
  <c r="C11" i="4"/>
  <c r="C10" i="4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" i="1"/>
  <c r="C7" i="4"/>
  <c r="C6" i="4"/>
  <c r="C5" i="4"/>
  <c r="C4" i="4"/>
  <c r="C3" i="4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O2" i="1"/>
  <c r="N2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" i="1"/>
</calcChain>
</file>

<file path=xl/sharedStrings.xml><?xml version="1.0" encoding="utf-8"?>
<sst xmlns="http://schemas.openxmlformats.org/spreadsheetml/2006/main" count="1084" uniqueCount="298">
  <si>
    <t>OrderID</t>
  </si>
  <si>
    <t>Product</t>
  </si>
  <si>
    <t>Region</t>
  </si>
  <si>
    <t>Salesperson</t>
  </si>
  <si>
    <t>UnitsSold</t>
  </si>
  <si>
    <t>UnitPrice</t>
  </si>
  <si>
    <t>Discount (%)</t>
  </si>
  <si>
    <t>ReturnStatus</t>
  </si>
  <si>
    <t>OrderDate</t>
  </si>
  <si>
    <t>TotalSales</t>
  </si>
  <si>
    <t>Deducations</t>
  </si>
  <si>
    <t>ExpectedSales</t>
  </si>
  <si>
    <t>Day</t>
  </si>
  <si>
    <t>Month</t>
  </si>
  <si>
    <t>Year</t>
  </si>
  <si>
    <t>PriceTag</t>
  </si>
  <si>
    <t>SalesTag</t>
  </si>
  <si>
    <t>DiscountTag</t>
  </si>
  <si>
    <t>ReturnTag</t>
  </si>
  <si>
    <t>RegionCode</t>
  </si>
  <si>
    <t>ORD0001</t>
  </si>
  <si>
    <t>Syringe Pack</t>
  </si>
  <si>
    <t>South</t>
  </si>
  <si>
    <t>Henry Davis</t>
  </si>
  <si>
    <t>No</t>
  </si>
  <si>
    <t>ORD0002</t>
  </si>
  <si>
    <t>North</t>
  </si>
  <si>
    <t>Catherine Lee</t>
  </si>
  <si>
    <t>ORD0003</t>
  </si>
  <si>
    <t>X-Ray Machine</t>
  </si>
  <si>
    <t>West</t>
  </si>
  <si>
    <t>David Miller</t>
  </si>
  <si>
    <t>Yes</t>
  </si>
  <si>
    <t>ORD0004</t>
  </si>
  <si>
    <t>Ultrasound Device</t>
  </si>
  <si>
    <t>ORD0005</t>
  </si>
  <si>
    <t>Stethoscope</t>
  </si>
  <si>
    <t>East</t>
  </si>
  <si>
    <t>ORD0006</t>
  </si>
  <si>
    <t>Thermometer</t>
  </si>
  <si>
    <t>ORD0007</t>
  </si>
  <si>
    <t>Grace Kim</t>
  </si>
  <si>
    <t>ORD0008</t>
  </si>
  <si>
    <t>Blood Test Kit</t>
  </si>
  <si>
    <t>Eva Brown</t>
  </si>
  <si>
    <t>ORD0009</t>
  </si>
  <si>
    <t>ORD0010</t>
  </si>
  <si>
    <t>Alice Johnson</t>
  </si>
  <si>
    <t>ORD0011</t>
  </si>
  <si>
    <t>ORD0012</t>
  </si>
  <si>
    <t>ORD0013</t>
  </si>
  <si>
    <t>ORD0014</t>
  </si>
  <si>
    <t>ORD0015</t>
  </si>
  <si>
    <t>ORD0016</t>
  </si>
  <si>
    <t>Insulin Pump</t>
  </si>
  <si>
    <t>ORD0017</t>
  </si>
  <si>
    <t>ORD0018</t>
  </si>
  <si>
    <t>PPE Kit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</si>
  <si>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</si>
  <si>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</si>
  <si>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</si>
  <si>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</si>
  <si>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</si>
  <si>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</si>
  <si>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</si>
  <si>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</si>
  <si>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</si>
  <si>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</si>
  <si>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</si>
  <si>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</si>
  <si>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</si>
  <si>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</si>
  <si>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</si>
  <si>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</si>
  <si>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Frank Wilson</t>
  </si>
  <si>
    <t>ORD0035</t>
  </si>
  <si>
    <t>ORD0036</t>
  </si>
  <si>
    <t>Bob Smith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</si>
  <si>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</si>
  <si>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</si>
  <si>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</si>
  <si>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</si>
  <si>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</si>
  <si>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</si>
  <si>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</si>
  <si>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</si>
  <si>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</si>
  <si>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</si>
  <si>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</si>
  <si>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</si>
  <si>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</si>
  <si>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</si>
  <si>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</si>
  <si>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</si>
  <si>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</si>
  <si>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</si>
  <si>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</si>
  <si>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</si>
  <si>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</si>
  <si>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</si>
  <si>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</si>
  <si>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</si>
  <si>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</si>
  <si>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</si>
  <si>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</si>
  <si>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</si>
  <si>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</si>
  <si>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</si>
  <si>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</si>
  <si>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</si>
  <si>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</si>
  <si>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</si>
  <si>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</si>
  <si>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</si>
  <si>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</si>
  <si>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</si>
  <si>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</si>
  <si>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</si>
  <si>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</si>
  <si>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</si>
  <si>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</si>
  <si>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</si>
  <si>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</si>
  <si>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</si>
  <si>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</si>
  <si>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</si>
  <si>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</si>
  <si>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</si>
  <si>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</si>
  <si>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</si>
  <si>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</si>
  <si>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</si>
  <si>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</si>
  <si>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</si>
  <si>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</si>
  <si>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</si>
  <si>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</si>
  <si>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</si>
  <si>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</si>
  <si>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</si>
  <si>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</si>
  <si>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</si>
  <si>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</si>
  <si>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</si>
  <si>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</si>
  <si>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</si>
  <si>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</si>
  <si>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</si>
  <si>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</si>
  <si>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</si>
  <si>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</si>
  <si>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</si>
  <si>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</si>
  <si>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</si>
  <si>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</si>
  <si>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</si>
  <si>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</si>
  <si>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</si>
  <si>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</si>
  <si>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</si>
  <si>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</si>
  <si>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</si>
  <si>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</si>
  <si>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</si>
  <si>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</si>
  <si>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</si>
  <si>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</si>
  <si>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</si>
  <si>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</si>
  <si>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</si>
  <si>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</si>
  <si>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</si>
  <si>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</si>
  <si>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</si>
  <si>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</si>
  <si>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</si>
  <si>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</si>
  <si>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</si>
  <si>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</si>
  <si>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</si>
  <si>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</si>
  <si>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</si>
  <si>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</si>
  <si>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</si>
  <si>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</si>
  <si>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</si>
  <si>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</si>
  <si>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</si>
  <si>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</si>
  <si>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</si>
  <si>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</si>
  <si>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</si>
  <si>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</si>
  <si>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</si>
  <si>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</si>
  <si>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</si>
  <si>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</si>
  <si>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</si>
  <si>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</si>
  <si>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</si>
  <si>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</si>
  <si>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</si>
  <si>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</si>
  <si>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</si>
  <si>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</si>
  <si>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</si>
  <si>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</si>
  <si>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</si>
  <si>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</si>
  <si>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</si>
  <si>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</si>
  <si>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</si>
  <si>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</si>
  <si>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</si>
  <si>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</si>
  <si>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</si>
  <si>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</si>
  <si>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</si>
  <si>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</si>
  <si>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</si>
  <si>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</si>
  <si>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</si>
  <si>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</si>
  <si>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</si>
  <si>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</si>
  <si>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</si>
  <si>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</si>
  <si>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</si>
  <si>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</si>
  <si>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</si>
  <si>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</si>
  <si>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</si>
  <si>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</si>
  <si>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</si>
  <si>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</si>
  <si>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</si>
  <si>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</si>
  <si>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</si>
  <si>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</si>
  <si>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</si>
  <si>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</si>
  <si>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</si>
  <si>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Sr No</t>
  </si>
  <si>
    <t>There are 3 types of questions which can be identified by the color coding</t>
  </si>
  <si>
    <t>C'0'</t>
  </si>
  <si>
    <t>Type 1 : Column Creation
- These types of questions require you to create columns based on certain conditions
- You need to create the additional columns in the 'Healthcare_Sales_Dataset' subsheet (For Now, column headers are provided so simply add the formulas)
- Change the dropdown in 'Solution' column to 'Completed'</t>
  </si>
  <si>
    <t>1'X'</t>
  </si>
  <si>
    <t>Type 2 : Calculation Based
- These types of questions require you to do a calculation to find out a single value based on the question
- You need to add the formula in the 'Solution' column against the question
- Hints for which function(s) to use are provided for the calculation based questions</t>
  </si>
  <si>
    <t>M'0'</t>
  </si>
  <si>
    <t>Type 3 : Column Modification
- These types of questions require you to modify existing columns based on certain conditions
- You need to perform the expected modifications as per stated on the columns in the 'Healthcare_Sales_Dataset' subsheet
- Hints for the modification will be provided
- Change the dropdown in 'Solution' column to 'Completed'</t>
  </si>
  <si>
    <t>Save the file after completing all the questions in the 'Solution' Subsheet and upload as Solution file for the respective Module</t>
  </si>
  <si>
    <t>Question</t>
  </si>
  <si>
    <t>Solution</t>
  </si>
  <si>
    <t>Hint</t>
  </si>
  <si>
    <t>C1</t>
  </si>
  <si>
    <t>Create Column TotalSales with this formula
- TotalSales = UnitsSold × UnitPrice × (1 – Discount%)</t>
  </si>
  <si>
    <t>1A</t>
  </si>
  <si>
    <t>Calculate the Total Sales for all orders.</t>
  </si>
  <si>
    <t>Use SUM( ) and then range referencing.</t>
  </si>
  <si>
    <t>1B</t>
  </si>
  <si>
    <t>Total Number of orders</t>
  </si>
  <si>
    <t>Use COUNTA( ) and then range referencing.</t>
  </si>
  <si>
    <t>1C</t>
  </si>
  <si>
    <t>Find MIN of Total Sales</t>
  </si>
  <si>
    <t>Use MIN( ) and then range referencing.</t>
  </si>
  <si>
    <t>1D</t>
  </si>
  <si>
    <t>Find MAX of Total Sales</t>
  </si>
  <si>
    <t>Use MAX( ) and then range referencing.</t>
  </si>
  <si>
    <t>1E</t>
  </si>
  <si>
    <t>Find AVERAGE of Total Sales</t>
  </si>
  <si>
    <t>Use AVERAGE( ) and then range referencing.</t>
  </si>
  <si>
    <t>C3</t>
  </si>
  <si>
    <t>Create Column ExpectedSales (without discounts) with this formula
- ExpectedSales = UnitsSold × UnitPrice</t>
  </si>
  <si>
    <t>C2</t>
  </si>
  <si>
    <t>Create a new column Deductions with this formula
- Deductions = Tax + Commission (assume 10% Tax + 5% Commission)
- Round deductions to 2 decimals using ROUND( )</t>
  </si>
  <si>
    <t>1F</t>
  </si>
  <si>
    <t>Calculate the Total ExpectedSales</t>
  </si>
  <si>
    <t>1G</t>
  </si>
  <si>
    <t>Calculate the Total Deductions</t>
  </si>
  <si>
    <t>C4</t>
  </si>
  <si>
    <t>Extract Day, Month, Year from OrderDate.</t>
  </si>
  <si>
    <t>Create 3 separate columns for each</t>
  </si>
  <si>
    <t>C5</t>
  </si>
  <si>
    <t>If unit price &lt; 500 → tag as “Low Price”, else “High Price”.</t>
  </si>
  <si>
    <t>Create column PriceTag with row wise computation using IF( ) function</t>
  </si>
  <si>
    <t>C6</t>
  </si>
  <si>
    <t>Check if a sale ≥ average → mark as “Good”, else “Ok”.</t>
  </si>
  <si>
    <t>Create column SalesTag with row wise computation using IF( ) function combined with AVERAGE( ) function</t>
  </si>
  <si>
    <t>C7</t>
  </si>
  <si>
    <t>If discount &gt; 10% → tag as “High Discount”, else if discount = 0%, tag as "No Discount", else “Low discount”</t>
  </si>
  <si>
    <t>Create Column DiscountTag with row wise computation using nested IF( ) function</t>
  </si>
  <si>
    <t>C8</t>
  </si>
  <si>
    <t>Flag orders for Review if ReturnStatus = “Yes” AND Discount &gt; 10%.
- If both conditions are met, mark the order as "High Priority Review"
- If only the return status is "Yes," mark it as "Low Priority Review"
- If neither condition is met, mark it as "No Review Needed"</t>
  </si>
  <si>
    <t>Create Column ReturnTag with nested IF( ) function combined with AND( ) function</t>
  </si>
  <si>
    <t>C9</t>
  </si>
  <si>
    <t>Generate region codes from the first 2 characters of Region.</t>
  </si>
  <si>
    <t>Create column RegionCode with row wise computation using LEFT( ) function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</si>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</sst>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i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rgb="FFFFF2CC"/>
      </patternFill>
    </fill>
    <fill>
      <patternFill patternType="solid">
        <fgColor theme="4" tint="0.59999389629810485"/>
        <bgColor rgb="FFCFE2F3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/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6" fillId="4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1" fillId="5" borderId="0" xfId="0" applyFont="1" applyFill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10" fillId="5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vertical="center" wrapText="1"/>
    </xf>
    <xf numFmtId="0" fontId="10" fillId="7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vertical="center" wrapText="1"/>
    </xf>
    <xf numFmtId="0" fontId="2" fillId="2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 vertical="top"/>
    </xf>
    <xf numFmtId="0" fontId="2" fillId="6" borderId="1" xfId="0" applyFont="1" applyFill="1" applyBorder="1"/>
    <xf numFmtId="0" fontId="3" fillId="0" borderId="1" xfId="0" applyFont="1" applyBorder="1"/>
    <xf numFmtId="14" fontId="3" fillId="0" borderId="1" xfId="0" applyNumberFormat="1" applyFont="1" applyBorder="1"/>
    <xf numFmtId="0" fontId="0" fillId="0" borderId="1" xfId="0" applyBorder="1"/>
  </cellXfs>
  <cellStyles count="1">
    <cellStyle name="Normal" xfId="0" builtinId="0"/>
  </cellStyles>
  <dxfs count="6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theme="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theme="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theme="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theme="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theme="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f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0"/>
  <sheetViews>
    <sheetView tabSelected="1" topLeftCell="M1" workbookViewId="0">
      <pane ySplit="1" topLeftCell="A2" activePane="bottomLeft" state="frozen"/>
      <selection pane="bottomLeft" activeCell="U12" sqref="U12"/>
    </sheetView>
  </sheetViews>
  <sheetFormatPr defaultColWidth="14.453125" defaultRowHeight="15" customHeight="1" x14ac:dyDescent="0.35"/>
  <cols>
    <col min="1" max="1" width="9.1796875" style="30" customWidth="1"/>
    <col min="2" max="2" width="16.7265625" style="30" customWidth="1"/>
    <col min="3" max="3" width="7.1796875" style="30" customWidth="1"/>
    <col min="4" max="4" width="12.81640625" style="30" customWidth="1"/>
    <col min="5" max="5" width="9.453125" style="30" customWidth="1"/>
    <col min="6" max="6" width="9.1796875" style="30" customWidth="1"/>
    <col min="7" max="7" width="12" style="30" customWidth="1"/>
    <col min="8" max="8" width="12.453125" style="30" customWidth="1"/>
    <col min="9" max="9" width="10.81640625" style="30" customWidth="1"/>
    <col min="10" max="10" width="9.7265625" style="30" bestFit="1" customWidth="1"/>
    <col min="11" max="11" width="11.7265625" style="30" bestFit="1" customWidth="1"/>
    <col min="12" max="12" width="13.453125" style="30" bestFit="1" customWidth="1"/>
    <col min="13" max="13" width="4.1796875" style="30" bestFit="1" customWidth="1"/>
    <col min="14" max="14" width="6.7265625" style="30" bestFit="1" customWidth="1"/>
    <col min="15" max="15" width="5" style="30" bestFit="1" customWidth="1"/>
    <col min="16" max="16" width="9.54296875" style="30" bestFit="1" customWidth="1"/>
    <col min="17" max="17" width="8.26953125" style="30" bestFit="1" customWidth="1"/>
    <col min="18" max="18" width="12.81640625" style="30" bestFit="1" customWidth="1"/>
    <col min="19" max="19" width="18.7265625" style="30" bestFit="1" customWidth="1"/>
    <col min="20" max="20" width="11.26953125" style="30" bestFit="1" customWidth="1"/>
    <col min="21" max="21" width="71.453125" customWidth="1"/>
    <col min="22" max="25" width="8.7265625" customWidth="1"/>
  </cols>
  <sheetData>
    <row r="1" spans="1:25" ht="14.5" x14ac:dyDescent="0.35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6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27" t="s">
        <v>17</v>
      </c>
      <c r="S1" s="27" t="s">
        <v>18</v>
      </c>
      <c r="T1" s="27" t="s">
        <v>19</v>
      </c>
      <c r="U1" s="1"/>
      <c r="V1" s="1"/>
      <c r="W1" s="1"/>
      <c r="X1" s="1"/>
      <c r="Y1" s="1"/>
    </row>
    <row r="2" spans="1:25" ht="14.5" x14ac:dyDescent="0.35">
      <c r="A2" s="28" t="s">
        <v>20</v>
      </c>
      <c r="B2" s="28" t="s">
        <v>21</v>
      </c>
      <c r="C2" s="28" t="s">
        <v>22</v>
      </c>
      <c r="D2" s="28" t="s">
        <v>23</v>
      </c>
      <c r="E2" s="28">
        <v>6</v>
      </c>
      <c r="F2" s="28">
        <v>500</v>
      </c>
      <c r="G2" s="28">
        <v>10</v>
      </c>
      <c r="H2" s="28" t="s">
        <v>24</v>
      </c>
      <c r="I2" s="29">
        <v>44986</v>
      </c>
      <c r="J2" s="28">
        <f>E2*F2*(1-G2/100)</f>
        <v>2700</v>
      </c>
      <c r="K2" s="28">
        <f>ROUND(J2*15%,2)</f>
        <v>405</v>
      </c>
      <c r="L2" s="28">
        <f>E2*F2</f>
        <v>3000</v>
      </c>
      <c r="M2" s="28">
        <f>DAY(I2)</f>
        <v>1</v>
      </c>
      <c r="N2" s="28">
        <f>MONTH(I2)</f>
        <v>3</v>
      </c>
      <c r="O2" s="28">
        <f>YEAR(I2)</f>
        <v>2023</v>
      </c>
      <c r="P2" s="28" t="str">
        <f>IF(F2&lt;500,"Low Price","High Price")</f>
        <v>High Price</v>
      </c>
      <c r="Q2" s="28" t="str">
        <f>IF(J2&gt;=AVERAGE(J:J),"Good","Bad")</f>
        <v>Bad</v>
      </c>
      <c r="R2" s="28" t="str">
        <f>IF(G2&gt;10,"High Discount",IF(G2=0,"No Discount","Low Discont"))</f>
        <v>Low Discont</v>
      </c>
      <c r="S2" s="28" t="str">
        <f>IF(AND(H2="Yes",G2&gt;10),"High Priority Review",IF(H2="Yes","Low Priority Review","No Review Needed"))</f>
        <v>No Review Needed</v>
      </c>
      <c r="T2" s="28" t="str">
        <f>LEFT(C2,2)</f>
        <v>So</v>
      </c>
      <c r="U2" s="1"/>
      <c r="V2" s="1"/>
      <c r="W2" s="1"/>
      <c r="X2" s="1"/>
      <c r="Y2" s="1"/>
    </row>
    <row r="3" spans="1:25" ht="14.5" x14ac:dyDescent="0.35">
      <c r="A3" s="28" t="s">
        <v>25</v>
      </c>
      <c r="B3" s="28" t="s">
        <v>21</v>
      </c>
      <c r="C3" s="28" t="s">
        <v>26</v>
      </c>
      <c r="D3" s="28" t="s">
        <v>27</v>
      </c>
      <c r="E3" s="28">
        <v>3</v>
      </c>
      <c r="F3" s="28">
        <v>500</v>
      </c>
      <c r="G3" s="28">
        <v>10</v>
      </c>
      <c r="H3" s="28" t="s">
        <v>24</v>
      </c>
      <c r="I3" s="29">
        <v>44986</v>
      </c>
      <c r="J3" s="28">
        <f t="shared" ref="J3:J66" si="0">E3*F3*(1-G3/100)</f>
        <v>1350</v>
      </c>
      <c r="K3" s="28">
        <f t="shared" ref="K3:K66" si="1">ROUND(J3*15%,2)</f>
        <v>202.5</v>
      </c>
      <c r="L3" s="28">
        <f t="shared" ref="L3:L66" si="2">E3*F3</f>
        <v>1500</v>
      </c>
      <c r="M3" s="28">
        <f t="shared" ref="M3:M66" si="3">DAY(I3)</f>
        <v>1</v>
      </c>
      <c r="N3" s="28">
        <f t="shared" ref="N3:N66" si="4">MONTH(I3)</f>
        <v>3</v>
      </c>
      <c r="O3" s="28">
        <f t="shared" ref="O3:O66" si="5">YEAR(I3)</f>
        <v>2023</v>
      </c>
      <c r="P3" s="28" t="str">
        <f t="shared" ref="P3:P66" si="6">IF(F3&lt;500,"Low Price","High Price")</f>
        <v>High Price</v>
      </c>
      <c r="Q3" s="28" t="str">
        <f t="shared" ref="Q3:Q66" si="7">IF(J3&gt;=AVERAGE(J:J),"Good","Bad")</f>
        <v>Bad</v>
      </c>
      <c r="R3" s="28" t="str">
        <f t="shared" ref="R3:R66" si="8">IF(G3&gt;10,"High Discount",IF(G3=0,"No Discount","Low Discont"))</f>
        <v>Low Discont</v>
      </c>
      <c r="S3" s="28" t="str">
        <f t="shared" ref="S3:S66" si="9">IF(AND(H3="Yes",G3&gt;10),"High Priority Review",IF(H3="Yes","Low Priority Review","No Review Needed"))</f>
        <v>No Review Needed</v>
      </c>
      <c r="T3" s="28" t="str">
        <f t="shared" ref="T3:T66" si="10">LEFT(C3,2)</f>
        <v>No</v>
      </c>
      <c r="U3" s="1"/>
      <c r="V3" s="1"/>
      <c r="W3" s="1"/>
      <c r="X3" s="1"/>
      <c r="Y3" s="1"/>
    </row>
    <row r="4" spans="1:25" ht="14.5" x14ac:dyDescent="0.35">
      <c r="A4" s="28" t="s">
        <v>28</v>
      </c>
      <c r="B4" s="28" t="s">
        <v>29</v>
      </c>
      <c r="C4" s="28" t="s">
        <v>30</v>
      </c>
      <c r="D4" s="28" t="s">
        <v>31</v>
      </c>
      <c r="E4" s="28">
        <v>9</v>
      </c>
      <c r="F4" s="28">
        <v>5000</v>
      </c>
      <c r="G4" s="28">
        <v>10</v>
      </c>
      <c r="H4" s="28" t="s">
        <v>32</v>
      </c>
      <c r="I4" s="29">
        <v>45047</v>
      </c>
      <c r="J4" s="28">
        <f t="shared" si="0"/>
        <v>40500</v>
      </c>
      <c r="K4" s="28">
        <f t="shared" si="1"/>
        <v>6075</v>
      </c>
      <c r="L4" s="28">
        <f t="shared" si="2"/>
        <v>45000</v>
      </c>
      <c r="M4" s="28">
        <f t="shared" si="3"/>
        <v>1</v>
      </c>
      <c r="N4" s="28">
        <f t="shared" si="4"/>
        <v>5</v>
      </c>
      <c r="O4" s="28">
        <f t="shared" si="5"/>
        <v>2023</v>
      </c>
      <c r="P4" s="28" t="str">
        <f t="shared" si="6"/>
        <v>High Price</v>
      </c>
      <c r="Q4" s="28" t="str">
        <f t="shared" si="7"/>
        <v>Good</v>
      </c>
      <c r="R4" s="28" t="str">
        <f t="shared" si="8"/>
        <v>Low Discont</v>
      </c>
      <c r="S4" s="28" t="str">
        <f t="shared" si="9"/>
        <v>Low Priority Review</v>
      </c>
      <c r="T4" s="28" t="str">
        <f t="shared" si="10"/>
        <v>We</v>
      </c>
      <c r="U4" s="1"/>
      <c r="V4" s="1"/>
      <c r="W4" s="1"/>
      <c r="X4" s="1"/>
      <c r="Y4" s="1"/>
    </row>
    <row r="5" spans="1:25" ht="14.5" x14ac:dyDescent="0.35">
      <c r="A5" s="28" t="s">
        <v>33</v>
      </c>
      <c r="B5" s="28" t="s">
        <v>34</v>
      </c>
      <c r="C5" s="28" t="s">
        <v>30</v>
      </c>
      <c r="D5" s="28" t="s">
        <v>31</v>
      </c>
      <c r="E5" s="28">
        <v>2</v>
      </c>
      <c r="F5" s="28">
        <v>2000</v>
      </c>
      <c r="G5" s="28">
        <v>5</v>
      </c>
      <c r="H5" s="28" t="s">
        <v>32</v>
      </c>
      <c r="I5" s="29">
        <v>45078</v>
      </c>
      <c r="J5" s="28">
        <f t="shared" si="0"/>
        <v>3800</v>
      </c>
      <c r="K5" s="28">
        <f t="shared" si="1"/>
        <v>570</v>
      </c>
      <c r="L5" s="28">
        <f t="shared" si="2"/>
        <v>4000</v>
      </c>
      <c r="M5" s="28">
        <f t="shared" si="3"/>
        <v>1</v>
      </c>
      <c r="N5" s="28">
        <f t="shared" si="4"/>
        <v>6</v>
      </c>
      <c r="O5" s="28">
        <f t="shared" si="5"/>
        <v>2023</v>
      </c>
      <c r="P5" s="28" t="str">
        <f t="shared" si="6"/>
        <v>High Price</v>
      </c>
      <c r="Q5" s="28" t="str">
        <f t="shared" si="7"/>
        <v>Bad</v>
      </c>
      <c r="R5" s="28" t="str">
        <f t="shared" si="8"/>
        <v>Low Discont</v>
      </c>
      <c r="S5" s="28" t="str">
        <f t="shared" si="9"/>
        <v>Low Priority Review</v>
      </c>
      <c r="T5" s="28" t="str">
        <f t="shared" si="10"/>
        <v>We</v>
      </c>
      <c r="U5" s="1"/>
      <c r="V5" s="1"/>
      <c r="W5" s="1"/>
      <c r="X5" s="1"/>
      <c r="Y5" s="1"/>
    </row>
    <row r="6" spans="1:25" ht="14.5" x14ac:dyDescent="0.35">
      <c r="A6" s="28" t="s">
        <v>35</v>
      </c>
      <c r="B6" s="28" t="s">
        <v>36</v>
      </c>
      <c r="C6" s="28" t="s">
        <v>37</v>
      </c>
      <c r="D6" s="28"/>
      <c r="E6" s="28">
        <v>3</v>
      </c>
      <c r="F6" s="28">
        <v>750</v>
      </c>
      <c r="G6" s="28">
        <v>5</v>
      </c>
      <c r="H6" s="28" t="s">
        <v>32</v>
      </c>
      <c r="I6" s="29">
        <v>45139</v>
      </c>
      <c r="J6" s="28">
        <f t="shared" si="0"/>
        <v>2137.5</v>
      </c>
      <c r="K6" s="28">
        <f t="shared" si="1"/>
        <v>320.63</v>
      </c>
      <c r="L6" s="28">
        <f t="shared" si="2"/>
        <v>2250</v>
      </c>
      <c r="M6" s="28">
        <f t="shared" si="3"/>
        <v>1</v>
      </c>
      <c r="N6" s="28">
        <f t="shared" si="4"/>
        <v>8</v>
      </c>
      <c r="O6" s="28">
        <f t="shared" si="5"/>
        <v>2023</v>
      </c>
      <c r="P6" s="28" t="str">
        <f t="shared" si="6"/>
        <v>High Price</v>
      </c>
      <c r="Q6" s="28" t="str">
        <f t="shared" si="7"/>
        <v>Bad</v>
      </c>
      <c r="R6" s="28" t="str">
        <f t="shared" si="8"/>
        <v>Low Discont</v>
      </c>
      <c r="S6" s="28" t="str">
        <f t="shared" si="9"/>
        <v>Low Priority Review</v>
      </c>
      <c r="T6" s="28" t="str">
        <f t="shared" si="10"/>
        <v>Ea</v>
      </c>
      <c r="U6" s="1"/>
      <c r="V6" s="1"/>
      <c r="W6" s="1"/>
      <c r="X6" s="1"/>
      <c r="Y6" s="1"/>
    </row>
    <row r="7" spans="1:25" ht="14.5" x14ac:dyDescent="0.35">
      <c r="A7" s="28" t="s">
        <v>38</v>
      </c>
      <c r="B7" s="28" t="s">
        <v>39</v>
      </c>
      <c r="C7" s="28" t="s">
        <v>26</v>
      </c>
      <c r="D7" s="28" t="s">
        <v>27</v>
      </c>
      <c r="E7" s="28">
        <v>14</v>
      </c>
      <c r="F7" s="28">
        <v>250</v>
      </c>
      <c r="G7" s="28">
        <v>10</v>
      </c>
      <c r="H7" s="28" t="s">
        <v>24</v>
      </c>
      <c r="I7" s="29">
        <v>45139</v>
      </c>
      <c r="J7" s="28">
        <f t="shared" si="0"/>
        <v>3150</v>
      </c>
      <c r="K7" s="28">
        <f t="shared" si="1"/>
        <v>472.5</v>
      </c>
      <c r="L7" s="28">
        <f t="shared" si="2"/>
        <v>3500</v>
      </c>
      <c r="M7" s="28">
        <f t="shared" si="3"/>
        <v>1</v>
      </c>
      <c r="N7" s="28">
        <f t="shared" si="4"/>
        <v>8</v>
      </c>
      <c r="O7" s="28">
        <f t="shared" si="5"/>
        <v>2023</v>
      </c>
      <c r="P7" s="28" t="str">
        <f t="shared" si="6"/>
        <v>Low Price</v>
      </c>
      <c r="Q7" s="28" t="str">
        <f t="shared" si="7"/>
        <v>Bad</v>
      </c>
      <c r="R7" s="28" t="str">
        <f t="shared" si="8"/>
        <v>Low Discont</v>
      </c>
      <c r="S7" s="28" t="str">
        <f t="shared" si="9"/>
        <v>No Review Needed</v>
      </c>
      <c r="T7" s="28" t="str">
        <f t="shared" si="10"/>
        <v>No</v>
      </c>
      <c r="U7" s="1"/>
      <c r="V7" s="1"/>
      <c r="W7" s="1"/>
      <c r="X7" s="1"/>
      <c r="Y7" s="1"/>
    </row>
    <row r="8" spans="1:25" ht="14.5" x14ac:dyDescent="0.35">
      <c r="A8" s="28" t="s">
        <v>40</v>
      </c>
      <c r="B8" s="28" t="s">
        <v>39</v>
      </c>
      <c r="C8" s="28" t="s">
        <v>37</v>
      </c>
      <c r="D8" s="28" t="s">
        <v>41</v>
      </c>
      <c r="E8" s="28">
        <v>25</v>
      </c>
      <c r="F8" s="28">
        <v>250</v>
      </c>
      <c r="G8" s="28">
        <v>15</v>
      </c>
      <c r="H8" s="28" t="s">
        <v>24</v>
      </c>
      <c r="I8" s="29">
        <v>45139</v>
      </c>
      <c r="J8" s="28">
        <f t="shared" si="0"/>
        <v>5312.5</v>
      </c>
      <c r="K8" s="28">
        <f t="shared" si="1"/>
        <v>796.88</v>
      </c>
      <c r="L8" s="28">
        <f t="shared" si="2"/>
        <v>6250</v>
      </c>
      <c r="M8" s="28">
        <f t="shared" si="3"/>
        <v>1</v>
      </c>
      <c r="N8" s="28">
        <f t="shared" si="4"/>
        <v>8</v>
      </c>
      <c r="O8" s="28">
        <f t="shared" si="5"/>
        <v>2023</v>
      </c>
      <c r="P8" s="28" t="str">
        <f t="shared" si="6"/>
        <v>Low Price</v>
      </c>
      <c r="Q8" s="28" t="str">
        <f t="shared" si="7"/>
        <v>Bad</v>
      </c>
      <c r="R8" s="28" t="str">
        <f t="shared" si="8"/>
        <v>High Discount</v>
      </c>
      <c r="S8" s="28" t="str">
        <f t="shared" si="9"/>
        <v>No Review Needed</v>
      </c>
      <c r="T8" s="28" t="str">
        <f t="shared" si="10"/>
        <v>Ea</v>
      </c>
      <c r="U8" s="1"/>
      <c r="V8" s="1"/>
      <c r="W8" s="1"/>
      <c r="X8" s="1"/>
      <c r="Y8" s="1"/>
    </row>
    <row r="9" spans="1:25" ht="14.5" x14ac:dyDescent="0.35">
      <c r="A9" s="28" t="s">
        <v>42</v>
      </c>
      <c r="B9" s="28" t="s">
        <v>43</v>
      </c>
      <c r="C9" s="28" t="s">
        <v>26</v>
      </c>
      <c r="D9" s="28" t="s">
        <v>44</v>
      </c>
      <c r="E9" s="28">
        <v>49</v>
      </c>
      <c r="F9" s="28">
        <v>1750</v>
      </c>
      <c r="G9" s="28">
        <v>15</v>
      </c>
      <c r="H9" s="28" t="s">
        <v>32</v>
      </c>
      <c r="I9" s="29">
        <v>45200</v>
      </c>
      <c r="J9" s="28">
        <f t="shared" si="0"/>
        <v>72887.5</v>
      </c>
      <c r="K9" s="28">
        <f t="shared" si="1"/>
        <v>10933.13</v>
      </c>
      <c r="L9" s="28">
        <f t="shared" si="2"/>
        <v>85750</v>
      </c>
      <c r="M9" s="28">
        <f t="shared" si="3"/>
        <v>1</v>
      </c>
      <c r="N9" s="28">
        <f t="shared" si="4"/>
        <v>10</v>
      </c>
      <c r="O9" s="28">
        <f t="shared" si="5"/>
        <v>2023</v>
      </c>
      <c r="P9" s="28" t="str">
        <f t="shared" si="6"/>
        <v>High Price</v>
      </c>
      <c r="Q9" s="28" t="str">
        <f t="shared" si="7"/>
        <v>Good</v>
      </c>
      <c r="R9" s="28" t="str">
        <f t="shared" si="8"/>
        <v>High Discount</v>
      </c>
      <c r="S9" s="28" t="str">
        <f t="shared" si="9"/>
        <v>High Priority Review</v>
      </c>
      <c r="T9" s="28" t="str">
        <f t="shared" si="10"/>
        <v>No</v>
      </c>
      <c r="U9" s="1"/>
      <c r="V9" s="1"/>
      <c r="W9" s="1"/>
      <c r="X9" s="1"/>
      <c r="Y9" s="1"/>
    </row>
    <row r="10" spans="1:25" ht="14.5" x14ac:dyDescent="0.35">
      <c r="A10" s="28" t="s">
        <v>45</v>
      </c>
      <c r="B10" s="28" t="s">
        <v>36</v>
      </c>
      <c r="C10" s="28" t="s">
        <v>26</v>
      </c>
      <c r="D10" s="28" t="s">
        <v>27</v>
      </c>
      <c r="E10" s="28">
        <v>10</v>
      </c>
      <c r="F10" s="28">
        <v>750</v>
      </c>
      <c r="G10" s="28">
        <v>5</v>
      </c>
      <c r="H10" s="28" t="s">
        <v>24</v>
      </c>
      <c r="I10" s="29">
        <v>45231</v>
      </c>
      <c r="J10" s="28">
        <f t="shared" si="0"/>
        <v>7125</v>
      </c>
      <c r="K10" s="28">
        <f t="shared" si="1"/>
        <v>1068.75</v>
      </c>
      <c r="L10" s="28">
        <f t="shared" si="2"/>
        <v>7500</v>
      </c>
      <c r="M10" s="28">
        <f t="shared" si="3"/>
        <v>1</v>
      </c>
      <c r="N10" s="28">
        <f t="shared" si="4"/>
        <v>11</v>
      </c>
      <c r="O10" s="28">
        <f t="shared" si="5"/>
        <v>2023</v>
      </c>
      <c r="P10" s="28" t="str">
        <f t="shared" si="6"/>
        <v>High Price</v>
      </c>
      <c r="Q10" s="28" t="str">
        <f t="shared" si="7"/>
        <v>Bad</v>
      </c>
      <c r="R10" s="28" t="str">
        <f t="shared" si="8"/>
        <v>Low Discont</v>
      </c>
      <c r="S10" s="28" t="str">
        <f t="shared" si="9"/>
        <v>No Review Needed</v>
      </c>
      <c r="T10" s="28" t="str">
        <f t="shared" si="10"/>
        <v>No</v>
      </c>
      <c r="U10" s="1"/>
      <c r="V10" s="1"/>
      <c r="W10" s="1"/>
      <c r="X10" s="1"/>
      <c r="Y10" s="1"/>
    </row>
    <row r="11" spans="1:25" ht="14.5" x14ac:dyDescent="0.35">
      <c r="A11" s="28" t="s">
        <v>46</v>
      </c>
      <c r="B11" s="28" t="s">
        <v>36</v>
      </c>
      <c r="C11" s="28" t="s">
        <v>37</v>
      </c>
      <c r="D11" s="28" t="s">
        <v>47</v>
      </c>
      <c r="E11" s="28">
        <v>14</v>
      </c>
      <c r="F11" s="28">
        <v>750</v>
      </c>
      <c r="G11" s="28">
        <v>15</v>
      </c>
      <c r="H11" s="28" t="s">
        <v>32</v>
      </c>
      <c r="I11" s="29">
        <v>44959</v>
      </c>
      <c r="J11" s="28">
        <f t="shared" si="0"/>
        <v>8925</v>
      </c>
      <c r="K11" s="28">
        <f t="shared" si="1"/>
        <v>1338.75</v>
      </c>
      <c r="L11" s="28">
        <f t="shared" si="2"/>
        <v>10500</v>
      </c>
      <c r="M11" s="28">
        <f t="shared" si="3"/>
        <v>2</v>
      </c>
      <c r="N11" s="28">
        <f t="shared" si="4"/>
        <v>2</v>
      </c>
      <c r="O11" s="28">
        <f t="shared" si="5"/>
        <v>2023</v>
      </c>
      <c r="P11" s="28" t="str">
        <f t="shared" si="6"/>
        <v>High Price</v>
      </c>
      <c r="Q11" s="28" t="str">
        <f t="shared" si="7"/>
        <v>Bad</v>
      </c>
      <c r="R11" s="28" t="str">
        <f t="shared" si="8"/>
        <v>High Discount</v>
      </c>
      <c r="S11" s="28" t="str">
        <f t="shared" si="9"/>
        <v>High Priority Review</v>
      </c>
      <c r="T11" s="28" t="str">
        <f t="shared" si="10"/>
        <v>Ea</v>
      </c>
      <c r="U11" s="1"/>
      <c r="V11" s="1"/>
      <c r="W11" s="1"/>
      <c r="X11" s="1"/>
      <c r="Y11" s="1"/>
    </row>
    <row r="12" spans="1:25" ht="14.5" x14ac:dyDescent="0.35">
      <c r="A12" s="28" t="s">
        <v>48</v>
      </c>
      <c r="B12" s="28" t="s">
        <v>29</v>
      </c>
      <c r="C12" s="28" t="s">
        <v>30</v>
      </c>
      <c r="D12" s="28" t="s">
        <v>31</v>
      </c>
      <c r="E12" s="28">
        <v>6</v>
      </c>
      <c r="F12" s="28">
        <v>5000</v>
      </c>
      <c r="G12" s="28">
        <v>20</v>
      </c>
      <c r="H12" s="28" t="s">
        <v>24</v>
      </c>
      <c r="I12" s="29">
        <v>44959</v>
      </c>
      <c r="J12" s="28">
        <f t="shared" si="0"/>
        <v>24000</v>
      </c>
      <c r="K12" s="28">
        <f t="shared" si="1"/>
        <v>3600</v>
      </c>
      <c r="L12" s="28">
        <f t="shared" si="2"/>
        <v>30000</v>
      </c>
      <c r="M12" s="28">
        <f t="shared" si="3"/>
        <v>2</v>
      </c>
      <c r="N12" s="28">
        <f t="shared" si="4"/>
        <v>2</v>
      </c>
      <c r="O12" s="28">
        <f t="shared" si="5"/>
        <v>2023</v>
      </c>
      <c r="P12" s="28" t="str">
        <f t="shared" si="6"/>
        <v>High Price</v>
      </c>
      <c r="Q12" s="28" t="str">
        <f t="shared" si="7"/>
        <v>Good</v>
      </c>
      <c r="R12" s="28" t="str">
        <f t="shared" si="8"/>
        <v>High Discount</v>
      </c>
      <c r="S12" s="28" t="str">
        <f t="shared" si="9"/>
        <v>No Review Needed</v>
      </c>
      <c r="T12" s="28" t="str">
        <f t="shared" si="10"/>
        <v>We</v>
      </c>
      <c r="U12" s="1"/>
      <c r="V12" s="1"/>
      <c r="W12" s="1"/>
      <c r="X12" s="1"/>
      <c r="Y12" s="1"/>
    </row>
    <row r="13" spans="1:25" ht="14.5" x14ac:dyDescent="0.35">
      <c r="A13" s="28" t="s">
        <v>49</v>
      </c>
      <c r="B13" s="28" t="s">
        <v>39</v>
      </c>
      <c r="C13" s="28" t="s">
        <v>37</v>
      </c>
      <c r="D13" s="28" t="s">
        <v>47</v>
      </c>
      <c r="E13" s="28">
        <v>21</v>
      </c>
      <c r="F13" s="28">
        <v>250</v>
      </c>
      <c r="G13" s="28">
        <v>5</v>
      </c>
      <c r="H13" s="28" t="s">
        <v>24</v>
      </c>
      <c r="I13" s="29">
        <v>45109</v>
      </c>
      <c r="J13" s="28">
        <f t="shared" si="0"/>
        <v>4987.5</v>
      </c>
      <c r="K13" s="28">
        <f t="shared" si="1"/>
        <v>748.13</v>
      </c>
      <c r="L13" s="28">
        <f t="shared" si="2"/>
        <v>5250</v>
      </c>
      <c r="M13" s="28">
        <f t="shared" si="3"/>
        <v>2</v>
      </c>
      <c r="N13" s="28">
        <f t="shared" si="4"/>
        <v>7</v>
      </c>
      <c r="O13" s="28">
        <f t="shared" si="5"/>
        <v>2023</v>
      </c>
      <c r="P13" s="28" t="str">
        <f t="shared" si="6"/>
        <v>Low Price</v>
      </c>
      <c r="Q13" s="28" t="str">
        <f t="shared" si="7"/>
        <v>Bad</v>
      </c>
      <c r="R13" s="28" t="str">
        <f t="shared" si="8"/>
        <v>Low Discont</v>
      </c>
      <c r="S13" s="28" t="str">
        <f t="shared" si="9"/>
        <v>No Review Needed</v>
      </c>
      <c r="T13" s="28" t="str">
        <f t="shared" si="10"/>
        <v>Ea</v>
      </c>
      <c r="U13" s="1"/>
      <c r="V13" s="1"/>
      <c r="W13" s="1"/>
      <c r="X13" s="1"/>
      <c r="Y13" s="1"/>
    </row>
    <row r="14" spans="1:25" ht="14.5" x14ac:dyDescent="0.35">
      <c r="A14" s="28" t="s">
        <v>50</v>
      </c>
      <c r="B14" s="28" t="s">
        <v>21</v>
      </c>
      <c r="C14" s="28" t="s">
        <v>37</v>
      </c>
      <c r="D14" s="28" t="s">
        <v>41</v>
      </c>
      <c r="E14" s="28">
        <v>32</v>
      </c>
      <c r="F14" s="28">
        <v>500</v>
      </c>
      <c r="G14" s="28">
        <v>5</v>
      </c>
      <c r="H14" s="28" t="s">
        <v>32</v>
      </c>
      <c r="I14" s="29">
        <v>45262</v>
      </c>
      <c r="J14" s="28">
        <f t="shared" si="0"/>
        <v>15200</v>
      </c>
      <c r="K14" s="28">
        <f t="shared" si="1"/>
        <v>2280</v>
      </c>
      <c r="L14" s="28">
        <f t="shared" si="2"/>
        <v>16000</v>
      </c>
      <c r="M14" s="28">
        <f t="shared" si="3"/>
        <v>2</v>
      </c>
      <c r="N14" s="28">
        <f t="shared" si="4"/>
        <v>12</v>
      </c>
      <c r="O14" s="28">
        <f t="shared" si="5"/>
        <v>2023</v>
      </c>
      <c r="P14" s="28" t="str">
        <f t="shared" si="6"/>
        <v>High Price</v>
      </c>
      <c r="Q14" s="28" t="str">
        <f t="shared" si="7"/>
        <v>Bad</v>
      </c>
      <c r="R14" s="28" t="str">
        <f t="shared" si="8"/>
        <v>Low Discont</v>
      </c>
      <c r="S14" s="28" t="str">
        <f t="shared" si="9"/>
        <v>Low Priority Review</v>
      </c>
      <c r="T14" s="28" t="str">
        <f t="shared" si="10"/>
        <v>Ea</v>
      </c>
      <c r="U14" s="1"/>
      <c r="V14" s="1"/>
      <c r="W14" s="1"/>
      <c r="X14" s="1"/>
      <c r="Y14" s="1"/>
    </row>
    <row r="15" spans="1:25" ht="14.5" x14ac:dyDescent="0.35">
      <c r="A15" s="28" t="s">
        <v>51</v>
      </c>
      <c r="B15" s="28" t="s">
        <v>29</v>
      </c>
      <c r="C15" s="28" t="s">
        <v>26</v>
      </c>
      <c r="D15" s="28" t="s">
        <v>44</v>
      </c>
      <c r="E15" s="28">
        <v>7</v>
      </c>
      <c r="F15" s="28">
        <v>5000</v>
      </c>
      <c r="G15" s="28">
        <v>20</v>
      </c>
      <c r="H15" s="28" t="s">
        <v>32</v>
      </c>
      <c r="I15" s="29">
        <v>45262</v>
      </c>
      <c r="J15" s="28">
        <f t="shared" si="0"/>
        <v>28000</v>
      </c>
      <c r="K15" s="28">
        <f t="shared" si="1"/>
        <v>4200</v>
      </c>
      <c r="L15" s="28">
        <f t="shared" si="2"/>
        <v>35000</v>
      </c>
      <c r="M15" s="28">
        <f t="shared" si="3"/>
        <v>2</v>
      </c>
      <c r="N15" s="28">
        <f t="shared" si="4"/>
        <v>12</v>
      </c>
      <c r="O15" s="28">
        <f t="shared" si="5"/>
        <v>2023</v>
      </c>
      <c r="P15" s="28" t="str">
        <f t="shared" si="6"/>
        <v>High Price</v>
      </c>
      <c r="Q15" s="28" t="str">
        <f t="shared" si="7"/>
        <v>Good</v>
      </c>
      <c r="R15" s="28" t="str">
        <f t="shared" si="8"/>
        <v>High Discount</v>
      </c>
      <c r="S15" s="28" t="str">
        <f t="shared" si="9"/>
        <v>High Priority Review</v>
      </c>
      <c r="T15" s="28" t="str">
        <f t="shared" si="10"/>
        <v>No</v>
      </c>
      <c r="U15" s="1"/>
      <c r="V15" s="1"/>
      <c r="W15" s="1"/>
      <c r="X15" s="1"/>
      <c r="Y15" s="1"/>
    </row>
    <row r="16" spans="1:25" ht="14.5" x14ac:dyDescent="0.35">
      <c r="A16" s="28" t="s">
        <v>52</v>
      </c>
      <c r="B16" s="28" t="s">
        <v>34</v>
      </c>
      <c r="C16" s="28" t="s">
        <v>22</v>
      </c>
      <c r="D16" s="28" t="s">
        <v>23</v>
      </c>
      <c r="E16" s="28">
        <v>5</v>
      </c>
      <c r="F16" s="28">
        <v>2000</v>
      </c>
      <c r="G16" s="28">
        <v>10</v>
      </c>
      <c r="H16" s="28" t="s">
        <v>32</v>
      </c>
      <c r="I16" s="29">
        <v>44988</v>
      </c>
      <c r="J16" s="28">
        <f t="shared" si="0"/>
        <v>9000</v>
      </c>
      <c r="K16" s="28">
        <f t="shared" si="1"/>
        <v>1350</v>
      </c>
      <c r="L16" s="28">
        <f t="shared" si="2"/>
        <v>10000</v>
      </c>
      <c r="M16" s="28">
        <f t="shared" si="3"/>
        <v>3</v>
      </c>
      <c r="N16" s="28">
        <f t="shared" si="4"/>
        <v>3</v>
      </c>
      <c r="O16" s="28">
        <f t="shared" si="5"/>
        <v>2023</v>
      </c>
      <c r="P16" s="28" t="str">
        <f t="shared" si="6"/>
        <v>High Price</v>
      </c>
      <c r="Q16" s="28" t="str">
        <f t="shared" si="7"/>
        <v>Bad</v>
      </c>
      <c r="R16" s="28" t="str">
        <f t="shared" si="8"/>
        <v>Low Discont</v>
      </c>
      <c r="S16" s="28" t="str">
        <f t="shared" si="9"/>
        <v>Low Priority Review</v>
      </c>
      <c r="T16" s="28" t="str">
        <f t="shared" si="10"/>
        <v>So</v>
      </c>
      <c r="U16" s="1"/>
      <c r="V16" s="1"/>
      <c r="W16" s="1"/>
      <c r="X16" s="1"/>
      <c r="Y16" s="1"/>
    </row>
    <row r="17" spans="1:25" ht="14.5" x14ac:dyDescent="0.35">
      <c r="A17" s="28" t="s">
        <v>53</v>
      </c>
      <c r="B17" s="28" t="s">
        <v>54</v>
      </c>
      <c r="C17" s="28" t="s">
        <v>26</v>
      </c>
      <c r="D17" s="28" t="s">
        <v>27</v>
      </c>
      <c r="E17" s="28">
        <v>49</v>
      </c>
      <c r="F17" s="28">
        <v>1000</v>
      </c>
      <c r="G17" s="28">
        <v>10</v>
      </c>
      <c r="H17" s="28" t="s">
        <v>24</v>
      </c>
      <c r="I17" s="29">
        <v>44988</v>
      </c>
      <c r="J17" s="28">
        <f t="shared" si="0"/>
        <v>44100</v>
      </c>
      <c r="K17" s="28">
        <f t="shared" si="1"/>
        <v>6615</v>
      </c>
      <c r="L17" s="28">
        <f t="shared" si="2"/>
        <v>49000</v>
      </c>
      <c r="M17" s="28">
        <f t="shared" si="3"/>
        <v>3</v>
      </c>
      <c r="N17" s="28">
        <f t="shared" si="4"/>
        <v>3</v>
      </c>
      <c r="O17" s="28">
        <f t="shared" si="5"/>
        <v>2023</v>
      </c>
      <c r="P17" s="28" t="str">
        <f t="shared" si="6"/>
        <v>High Price</v>
      </c>
      <c r="Q17" s="28" t="str">
        <f t="shared" si="7"/>
        <v>Good</v>
      </c>
      <c r="R17" s="28" t="str">
        <f t="shared" si="8"/>
        <v>Low Discont</v>
      </c>
      <c r="S17" s="28" t="str">
        <f t="shared" si="9"/>
        <v>No Review Needed</v>
      </c>
      <c r="T17" s="28" t="str">
        <f t="shared" si="10"/>
        <v>No</v>
      </c>
      <c r="U17" s="1"/>
      <c r="V17" s="1"/>
      <c r="W17" s="1"/>
      <c r="X17" s="1"/>
      <c r="Y17" s="1"/>
    </row>
    <row r="18" spans="1:25" ht="14.5" x14ac:dyDescent="0.35">
      <c r="A18" s="28" t="s">
        <v>55</v>
      </c>
      <c r="B18" s="28" t="s">
        <v>54</v>
      </c>
      <c r="C18" s="28" t="s">
        <v>26</v>
      </c>
      <c r="D18" s="28" t="s">
        <v>27</v>
      </c>
      <c r="E18" s="28">
        <v>31</v>
      </c>
      <c r="F18" s="28">
        <v>1000</v>
      </c>
      <c r="G18" s="28">
        <v>15</v>
      </c>
      <c r="H18" s="28" t="s">
        <v>24</v>
      </c>
      <c r="I18" s="29">
        <v>45019</v>
      </c>
      <c r="J18" s="28">
        <f t="shared" si="0"/>
        <v>26350</v>
      </c>
      <c r="K18" s="28">
        <f t="shared" si="1"/>
        <v>3952.5</v>
      </c>
      <c r="L18" s="28">
        <f t="shared" si="2"/>
        <v>31000</v>
      </c>
      <c r="M18" s="28">
        <f t="shared" si="3"/>
        <v>3</v>
      </c>
      <c r="N18" s="28">
        <f t="shared" si="4"/>
        <v>4</v>
      </c>
      <c r="O18" s="28">
        <f t="shared" si="5"/>
        <v>2023</v>
      </c>
      <c r="P18" s="28" t="str">
        <f t="shared" si="6"/>
        <v>High Price</v>
      </c>
      <c r="Q18" s="28" t="str">
        <f t="shared" si="7"/>
        <v>Good</v>
      </c>
      <c r="R18" s="28" t="str">
        <f t="shared" si="8"/>
        <v>High Discount</v>
      </c>
      <c r="S18" s="28" t="str">
        <f t="shared" si="9"/>
        <v>No Review Needed</v>
      </c>
      <c r="T18" s="28" t="str">
        <f t="shared" si="10"/>
        <v>No</v>
      </c>
      <c r="U18" s="1"/>
      <c r="V18" s="1"/>
      <c r="W18" s="1"/>
      <c r="X18" s="1"/>
      <c r="Y18" s="1"/>
    </row>
    <row r="19" spans="1:25" ht="14.5" x14ac:dyDescent="0.35">
      <c r="A19" s="28" t="s">
        <v>56</v>
      </c>
      <c r="B19" s="28" t="s">
        <v>57</v>
      </c>
      <c r="C19" s="28" t="s">
        <v>22</v>
      </c>
      <c r="D19" s="28" t="s">
        <v>23</v>
      </c>
      <c r="E19" s="28">
        <v>5</v>
      </c>
      <c r="F19" s="28">
        <v>3000</v>
      </c>
      <c r="G19" s="28">
        <v>10</v>
      </c>
      <c r="H19" s="28" t="s">
        <v>24</v>
      </c>
      <c r="I19" s="29">
        <v>45141</v>
      </c>
      <c r="J19" s="28">
        <f t="shared" si="0"/>
        <v>13500</v>
      </c>
      <c r="K19" s="28">
        <f t="shared" si="1"/>
        <v>2025</v>
      </c>
      <c r="L19" s="28">
        <f t="shared" si="2"/>
        <v>15000</v>
      </c>
      <c r="M19" s="28">
        <f t="shared" si="3"/>
        <v>3</v>
      </c>
      <c r="N19" s="28">
        <f t="shared" si="4"/>
        <v>8</v>
      </c>
      <c r="O19" s="28">
        <f t="shared" si="5"/>
        <v>2023</v>
      </c>
      <c r="P19" s="28" t="str">
        <f t="shared" si="6"/>
        <v>High Price</v>
      </c>
      <c r="Q19" s="28" t="str">
        <f t="shared" si="7"/>
        <v>Bad</v>
      </c>
      <c r="R19" s="28" t="str">
        <f t="shared" si="8"/>
        <v>Low Discont</v>
      </c>
      <c r="S19" s="28" t="str">
        <f t="shared" si="9"/>
        <v>No Review Needed</v>
      </c>
      <c r="T19" s="28" t="str">
        <f t="shared" si="10"/>
        <v>So</v>
      </c>
      <c r="U19" s="1"/>
      <c r="V19" s="1"/>
      <c r="W19" s="1"/>
      <c r="X19" s="1"/>
      <c r="Y19" s="1"/>
    </row>
    <row r="20" spans="1:25" ht="14.5" x14ac:dyDescent="0.35">
      <c r="A20" s="28" t="s">
        <v>58</v>
      </c>
      <c r="B20" s="28" t="s">
        <v>43</v>
      </c>
      <c r="C20" s="28" t="s">
        <v>26</v>
      </c>
      <c r="D20" s="28" t="s">
        <v>44</v>
      </c>
      <c r="E20" s="28">
        <v>30</v>
      </c>
      <c r="F20" s="28">
        <v>1750</v>
      </c>
      <c r="G20" s="28">
        <v>0</v>
      </c>
      <c r="H20" s="28" t="s">
        <v>32</v>
      </c>
      <c r="I20" s="29">
        <v>45172</v>
      </c>
      <c r="J20" s="28">
        <f t="shared" si="0"/>
        <v>52500</v>
      </c>
      <c r="K20" s="28">
        <f t="shared" si="1"/>
        <v>7875</v>
      </c>
      <c r="L20" s="28">
        <f t="shared" si="2"/>
        <v>52500</v>
      </c>
      <c r="M20" s="28">
        <f t="shared" si="3"/>
        <v>3</v>
      </c>
      <c r="N20" s="28">
        <f t="shared" si="4"/>
        <v>9</v>
      </c>
      <c r="O20" s="28">
        <f t="shared" si="5"/>
        <v>2023</v>
      </c>
      <c r="P20" s="28" t="str">
        <f t="shared" si="6"/>
        <v>High Price</v>
      </c>
      <c r="Q20" s="28" t="str">
        <f t="shared" si="7"/>
        <v>Good</v>
      </c>
      <c r="R20" s="28" t="str">
        <f t="shared" si="8"/>
        <v>No Discount</v>
      </c>
      <c r="S20" s="28" t="str">
        <f t="shared" si="9"/>
        <v>Low Priority Review</v>
      </c>
      <c r="T20" s="28" t="str">
        <f t="shared" si="10"/>
        <v>No</v>
      </c>
      <c r="U20" s="1"/>
      <c r="V20" s="1"/>
      <c r="W20" s="1"/>
      <c r="X20" s="1"/>
      <c r="Y20" s="1"/>
    </row>
    <row r="21" spans="1:25" ht="15.75" customHeight="1" x14ac:dyDescent="0.35">
      <c r="A21" s="28" t="s">
        <v>59</v>
      </c>
      <c r="B21" s="28" t="s">
        <v>39</v>
      </c>
      <c r="C21" s="28" t="s">
        <v>37</v>
      </c>
      <c r="D21" s="28" t="s">
        <v>41</v>
      </c>
      <c r="E21" s="28">
        <v>7</v>
      </c>
      <c r="F21" s="28">
        <v>250</v>
      </c>
      <c r="G21" s="28"/>
      <c r="H21" s="28" t="s">
        <v>24</v>
      </c>
      <c r="I21" s="29">
        <v>44961</v>
      </c>
      <c r="J21" s="28">
        <f t="shared" si="0"/>
        <v>1750</v>
      </c>
      <c r="K21" s="28">
        <f t="shared" si="1"/>
        <v>262.5</v>
      </c>
      <c r="L21" s="28">
        <f t="shared" si="2"/>
        <v>1750</v>
      </c>
      <c r="M21" s="28">
        <f t="shared" si="3"/>
        <v>4</v>
      </c>
      <c r="N21" s="28">
        <f t="shared" si="4"/>
        <v>2</v>
      </c>
      <c r="O21" s="28">
        <f t="shared" si="5"/>
        <v>2023</v>
      </c>
      <c r="P21" s="28" t="str">
        <f t="shared" si="6"/>
        <v>Low Price</v>
      </c>
      <c r="Q21" s="28" t="str">
        <f t="shared" si="7"/>
        <v>Bad</v>
      </c>
      <c r="R21" s="28" t="str">
        <f t="shared" si="8"/>
        <v>No Discount</v>
      </c>
      <c r="S21" s="28" t="str">
        <f t="shared" si="9"/>
        <v>No Review Needed</v>
      </c>
      <c r="T21" s="28" t="str">
        <f t="shared" si="10"/>
        <v>Ea</v>
      </c>
      <c r="U21" s="1"/>
      <c r="V21" s="1"/>
      <c r="W21" s="1"/>
      <c r="X21" s="1"/>
      <c r="Y21" s="1"/>
    </row>
    <row r="22" spans="1:25" ht="15.75" customHeight="1" x14ac:dyDescent="0.35">
      <c r="A22" s="28" t="s">
        <v>60</v>
      </c>
      <c r="B22" s="28" t="s">
        <v>43</v>
      </c>
      <c r="C22" s="28" t="s">
        <v>37</v>
      </c>
      <c r="D22" s="28" t="s">
        <v>41</v>
      </c>
      <c r="E22" s="28">
        <v>8</v>
      </c>
      <c r="F22" s="28">
        <v>1750</v>
      </c>
      <c r="G22" s="28">
        <v>10</v>
      </c>
      <c r="H22" s="28" t="s">
        <v>32</v>
      </c>
      <c r="I22" s="29">
        <v>45081</v>
      </c>
      <c r="J22" s="28">
        <f t="shared" si="0"/>
        <v>12600</v>
      </c>
      <c r="K22" s="28">
        <f t="shared" si="1"/>
        <v>1890</v>
      </c>
      <c r="L22" s="28">
        <f t="shared" si="2"/>
        <v>14000</v>
      </c>
      <c r="M22" s="28">
        <f t="shared" si="3"/>
        <v>4</v>
      </c>
      <c r="N22" s="28">
        <f t="shared" si="4"/>
        <v>6</v>
      </c>
      <c r="O22" s="28">
        <f t="shared" si="5"/>
        <v>2023</v>
      </c>
      <c r="P22" s="28" t="str">
        <f t="shared" si="6"/>
        <v>High Price</v>
      </c>
      <c r="Q22" s="28" t="str">
        <f t="shared" si="7"/>
        <v>Bad</v>
      </c>
      <c r="R22" s="28" t="str">
        <f t="shared" si="8"/>
        <v>Low Discont</v>
      </c>
      <c r="S22" s="28" t="str">
        <f t="shared" si="9"/>
        <v>Low Priority Review</v>
      </c>
      <c r="T22" s="28" t="str">
        <f t="shared" si="10"/>
        <v>Ea</v>
      </c>
      <c r="U22" s="1"/>
      <c r="V22" s="1"/>
      <c r="W22" s="1"/>
      <c r="X22" s="1"/>
      <c r="Y22" s="1"/>
    </row>
    <row r="23" spans="1:25" ht="15.75" customHeight="1" x14ac:dyDescent="0.35">
      <c r="A23" s="28" t="s">
        <v>61</v>
      </c>
      <c r="B23" s="28" t="s">
        <v>43</v>
      </c>
      <c r="C23" s="28" t="s">
        <v>30</v>
      </c>
      <c r="D23" s="28" t="s">
        <v>31</v>
      </c>
      <c r="E23" s="28">
        <v>9</v>
      </c>
      <c r="F23" s="28">
        <v>1750</v>
      </c>
      <c r="G23" s="28">
        <v>15</v>
      </c>
      <c r="H23" s="28" t="s">
        <v>32</v>
      </c>
      <c r="I23" s="29">
        <v>45111</v>
      </c>
      <c r="J23" s="28">
        <f t="shared" si="0"/>
        <v>13387.5</v>
      </c>
      <c r="K23" s="28">
        <f t="shared" si="1"/>
        <v>2008.13</v>
      </c>
      <c r="L23" s="28">
        <f t="shared" si="2"/>
        <v>15750</v>
      </c>
      <c r="M23" s="28">
        <f t="shared" si="3"/>
        <v>4</v>
      </c>
      <c r="N23" s="28">
        <f t="shared" si="4"/>
        <v>7</v>
      </c>
      <c r="O23" s="28">
        <f t="shared" si="5"/>
        <v>2023</v>
      </c>
      <c r="P23" s="28" t="str">
        <f t="shared" si="6"/>
        <v>High Price</v>
      </c>
      <c r="Q23" s="28" t="str">
        <f t="shared" si="7"/>
        <v>Bad</v>
      </c>
      <c r="R23" s="28" t="str">
        <f t="shared" si="8"/>
        <v>High Discount</v>
      </c>
      <c r="S23" s="28" t="str">
        <f t="shared" si="9"/>
        <v>High Priority Review</v>
      </c>
      <c r="T23" s="28" t="str">
        <f t="shared" si="10"/>
        <v>We</v>
      </c>
      <c r="U23" s="1"/>
      <c r="V23" s="1"/>
      <c r="W23" s="1"/>
      <c r="X23" s="1"/>
      <c r="Y23" s="1"/>
    </row>
    <row r="24" spans="1:25" ht="15.75" customHeight="1" x14ac:dyDescent="0.35">
      <c r="A24" s="28" t="s">
        <v>62</v>
      </c>
      <c r="B24" s="28" t="s">
        <v>54</v>
      </c>
      <c r="C24" s="28" t="s">
        <v>26</v>
      </c>
      <c r="D24" s="28" t="s">
        <v>27</v>
      </c>
      <c r="E24" s="28">
        <v>38</v>
      </c>
      <c r="F24" s="28">
        <v>1000</v>
      </c>
      <c r="G24" s="28">
        <v>5</v>
      </c>
      <c r="H24" s="28" t="s">
        <v>32</v>
      </c>
      <c r="I24" s="29">
        <v>45264</v>
      </c>
      <c r="J24" s="28">
        <f t="shared" si="0"/>
        <v>36100</v>
      </c>
      <c r="K24" s="28">
        <f t="shared" si="1"/>
        <v>5415</v>
      </c>
      <c r="L24" s="28">
        <f t="shared" si="2"/>
        <v>38000</v>
      </c>
      <c r="M24" s="28">
        <f t="shared" si="3"/>
        <v>4</v>
      </c>
      <c r="N24" s="28">
        <f t="shared" si="4"/>
        <v>12</v>
      </c>
      <c r="O24" s="28">
        <f t="shared" si="5"/>
        <v>2023</v>
      </c>
      <c r="P24" s="28" t="str">
        <f t="shared" si="6"/>
        <v>High Price</v>
      </c>
      <c r="Q24" s="28" t="str">
        <f t="shared" si="7"/>
        <v>Good</v>
      </c>
      <c r="R24" s="28" t="str">
        <f t="shared" si="8"/>
        <v>Low Discont</v>
      </c>
      <c r="S24" s="28" t="str">
        <f t="shared" si="9"/>
        <v>Low Priority Review</v>
      </c>
      <c r="T24" s="28" t="str">
        <f t="shared" si="10"/>
        <v>No</v>
      </c>
      <c r="U24" s="1"/>
      <c r="V24" s="1"/>
      <c r="W24" s="1"/>
      <c r="X24" s="1"/>
      <c r="Y24" s="1"/>
    </row>
    <row r="25" spans="1:25" ht="15.75" customHeight="1" x14ac:dyDescent="0.35">
      <c r="A25" s="28" t="s">
        <v>63</v>
      </c>
      <c r="B25" s="28" t="s">
        <v>34</v>
      </c>
      <c r="C25" s="28" t="s">
        <v>26</v>
      </c>
      <c r="D25" s="28" t="s">
        <v>44</v>
      </c>
      <c r="E25" s="28">
        <v>3</v>
      </c>
      <c r="F25" s="28">
        <v>2000</v>
      </c>
      <c r="G25" s="28">
        <v>5</v>
      </c>
      <c r="H25" s="28" t="s">
        <v>32</v>
      </c>
      <c r="I25" s="29">
        <v>45112</v>
      </c>
      <c r="J25" s="28">
        <f t="shared" si="0"/>
        <v>5700</v>
      </c>
      <c r="K25" s="28">
        <f t="shared" si="1"/>
        <v>855</v>
      </c>
      <c r="L25" s="28">
        <f t="shared" si="2"/>
        <v>6000</v>
      </c>
      <c r="M25" s="28">
        <f t="shared" si="3"/>
        <v>5</v>
      </c>
      <c r="N25" s="28">
        <f t="shared" si="4"/>
        <v>7</v>
      </c>
      <c r="O25" s="28">
        <f t="shared" si="5"/>
        <v>2023</v>
      </c>
      <c r="P25" s="28" t="str">
        <f t="shared" si="6"/>
        <v>High Price</v>
      </c>
      <c r="Q25" s="28" t="str">
        <f t="shared" si="7"/>
        <v>Bad</v>
      </c>
      <c r="R25" s="28" t="str">
        <f t="shared" si="8"/>
        <v>Low Discont</v>
      </c>
      <c r="S25" s="28" t="str">
        <f t="shared" si="9"/>
        <v>Low Priority Review</v>
      </c>
      <c r="T25" s="28" t="str">
        <f t="shared" si="10"/>
        <v>No</v>
      </c>
      <c r="U25" s="1"/>
      <c r="V25" s="1"/>
      <c r="W25" s="1"/>
      <c r="X25" s="1"/>
      <c r="Y25" s="1"/>
    </row>
    <row r="26" spans="1:25" ht="15.75" customHeight="1" x14ac:dyDescent="0.35">
      <c r="A26" s="28" t="s">
        <v>64</v>
      </c>
      <c r="B26" s="28" t="s">
        <v>36</v>
      </c>
      <c r="C26" s="28" t="s">
        <v>37</v>
      </c>
      <c r="D26" s="28" t="s">
        <v>47</v>
      </c>
      <c r="E26" s="28">
        <v>6</v>
      </c>
      <c r="F26" s="28">
        <v>750</v>
      </c>
      <c r="G26" s="28">
        <v>10</v>
      </c>
      <c r="H26" s="28" t="s">
        <v>24</v>
      </c>
      <c r="I26" s="29">
        <v>45265</v>
      </c>
      <c r="J26" s="28">
        <f t="shared" si="0"/>
        <v>4050</v>
      </c>
      <c r="K26" s="28">
        <f t="shared" si="1"/>
        <v>607.5</v>
      </c>
      <c r="L26" s="28">
        <f t="shared" si="2"/>
        <v>4500</v>
      </c>
      <c r="M26" s="28">
        <f t="shared" si="3"/>
        <v>5</v>
      </c>
      <c r="N26" s="28">
        <f t="shared" si="4"/>
        <v>12</v>
      </c>
      <c r="O26" s="28">
        <f t="shared" si="5"/>
        <v>2023</v>
      </c>
      <c r="P26" s="28" t="str">
        <f t="shared" si="6"/>
        <v>High Price</v>
      </c>
      <c r="Q26" s="28" t="str">
        <f t="shared" si="7"/>
        <v>Bad</v>
      </c>
      <c r="R26" s="28" t="str">
        <f t="shared" si="8"/>
        <v>Low Discont</v>
      </c>
      <c r="S26" s="28" t="str">
        <f t="shared" si="9"/>
        <v>No Review Needed</v>
      </c>
      <c r="T26" s="28" t="str">
        <f t="shared" si="10"/>
        <v>Ea</v>
      </c>
      <c r="U26" s="1"/>
      <c r="V26" s="1"/>
      <c r="W26" s="1"/>
      <c r="X26" s="1"/>
      <c r="Y26" s="1"/>
    </row>
    <row r="27" spans="1:25" ht="15.75" customHeight="1" x14ac:dyDescent="0.35">
      <c r="A27" s="28" t="s">
        <v>65</v>
      </c>
      <c r="B27" s="28" t="s">
        <v>39</v>
      </c>
      <c r="C27" s="28" t="s">
        <v>37</v>
      </c>
      <c r="D27" s="28" t="s">
        <v>47</v>
      </c>
      <c r="E27" s="28">
        <v>14</v>
      </c>
      <c r="F27" s="28">
        <v>250</v>
      </c>
      <c r="G27" s="28">
        <v>10</v>
      </c>
      <c r="H27" s="28" t="s">
        <v>24</v>
      </c>
      <c r="I27" s="29">
        <v>44963</v>
      </c>
      <c r="J27" s="28">
        <f t="shared" si="0"/>
        <v>3150</v>
      </c>
      <c r="K27" s="28">
        <f t="shared" si="1"/>
        <v>472.5</v>
      </c>
      <c r="L27" s="28">
        <f t="shared" si="2"/>
        <v>3500</v>
      </c>
      <c r="M27" s="28">
        <f t="shared" si="3"/>
        <v>6</v>
      </c>
      <c r="N27" s="28">
        <f t="shared" si="4"/>
        <v>2</v>
      </c>
      <c r="O27" s="28">
        <f t="shared" si="5"/>
        <v>2023</v>
      </c>
      <c r="P27" s="28" t="str">
        <f t="shared" si="6"/>
        <v>Low Price</v>
      </c>
      <c r="Q27" s="28" t="str">
        <f t="shared" si="7"/>
        <v>Bad</v>
      </c>
      <c r="R27" s="28" t="str">
        <f t="shared" si="8"/>
        <v>Low Discont</v>
      </c>
      <c r="S27" s="28" t="str">
        <f t="shared" si="9"/>
        <v>No Review Needed</v>
      </c>
      <c r="T27" s="28" t="str">
        <f t="shared" si="10"/>
        <v>Ea</v>
      </c>
      <c r="U27" s="1"/>
      <c r="V27" s="1"/>
      <c r="W27" s="1"/>
      <c r="X27" s="1"/>
      <c r="Y27" s="1"/>
    </row>
    <row r="28" spans="1:25" ht="15.75" customHeight="1" x14ac:dyDescent="0.35">
      <c r="A28" s="28" t="s">
        <v>66</v>
      </c>
      <c r="B28" s="28" t="s">
        <v>29</v>
      </c>
      <c r="C28" s="28" t="s">
        <v>37</v>
      </c>
      <c r="D28" s="28" t="s">
        <v>47</v>
      </c>
      <c r="E28" s="28">
        <v>9</v>
      </c>
      <c r="F28" s="28">
        <v>5000</v>
      </c>
      <c r="G28" s="28">
        <v>10</v>
      </c>
      <c r="H28" s="28" t="s">
        <v>32</v>
      </c>
      <c r="I28" s="29">
        <v>44991</v>
      </c>
      <c r="J28" s="28">
        <f t="shared" si="0"/>
        <v>40500</v>
      </c>
      <c r="K28" s="28">
        <f t="shared" si="1"/>
        <v>6075</v>
      </c>
      <c r="L28" s="28">
        <f t="shared" si="2"/>
        <v>45000</v>
      </c>
      <c r="M28" s="28">
        <f t="shared" si="3"/>
        <v>6</v>
      </c>
      <c r="N28" s="28">
        <f t="shared" si="4"/>
        <v>3</v>
      </c>
      <c r="O28" s="28">
        <f t="shared" si="5"/>
        <v>2023</v>
      </c>
      <c r="P28" s="28" t="str">
        <f t="shared" si="6"/>
        <v>High Price</v>
      </c>
      <c r="Q28" s="28" t="str">
        <f t="shared" si="7"/>
        <v>Good</v>
      </c>
      <c r="R28" s="28" t="str">
        <f t="shared" si="8"/>
        <v>Low Discont</v>
      </c>
      <c r="S28" s="28" t="str">
        <f t="shared" si="9"/>
        <v>Low Priority Review</v>
      </c>
      <c r="T28" s="28" t="str">
        <f t="shared" si="10"/>
        <v>Ea</v>
      </c>
      <c r="U28" s="1"/>
      <c r="V28" s="1"/>
      <c r="W28" s="1"/>
      <c r="X28" s="1"/>
      <c r="Y28" s="1"/>
    </row>
    <row r="29" spans="1:25" ht="15.75" customHeight="1" x14ac:dyDescent="0.35">
      <c r="A29" s="28" t="s">
        <v>67</v>
      </c>
      <c r="B29" s="28" t="s">
        <v>36</v>
      </c>
      <c r="C29" s="28" t="s">
        <v>26</v>
      </c>
      <c r="D29" s="28" t="s">
        <v>27</v>
      </c>
      <c r="E29" s="28">
        <v>3</v>
      </c>
      <c r="F29" s="28">
        <v>750</v>
      </c>
      <c r="G29" s="28">
        <v>15</v>
      </c>
      <c r="H29" s="28" t="s">
        <v>32</v>
      </c>
      <c r="I29" s="29">
        <v>44991</v>
      </c>
      <c r="J29" s="28">
        <f t="shared" si="0"/>
        <v>1912.5</v>
      </c>
      <c r="K29" s="28">
        <f t="shared" si="1"/>
        <v>286.88</v>
      </c>
      <c r="L29" s="28">
        <f t="shared" si="2"/>
        <v>2250</v>
      </c>
      <c r="M29" s="28">
        <f t="shared" si="3"/>
        <v>6</v>
      </c>
      <c r="N29" s="28">
        <f t="shared" si="4"/>
        <v>3</v>
      </c>
      <c r="O29" s="28">
        <f t="shared" si="5"/>
        <v>2023</v>
      </c>
      <c r="P29" s="28" t="str">
        <f t="shared" si="6"/>
        <v>High Price</v>
      </c>
      <c r="Q29" s="28" t="str">
        <f t="shared" si="7"/>
        <v>Bad</v>
      </c>
      <c r="R29" s="28" t="str">
        <f t="shared" si="8"/>
        <v>High Discount</v>
      </c>
      <c r="S29" s="28" t="str">
        <f t="shared" si="9"/>
        <v>High Priority Review</v>
      </c>
      <c r="T29" s="28" t="str">
        <f t="shared" si="10"/>
        <v>No</v>
      </c>
      <c r="U29" s="1"/>
      <c r="V29" s="1"/>
      <c r="W29" s="1"/>
      <c r="X29" s="1"/>
      <c r="Y29" s="1"/>
    </row>
    <row r="30" spans="1:25" ht="15.75" customHeight="1" x14ac:dyDescent="0.35">
      <c r="A30" s="28" t="s">
        <v>68</v>
      </c>
      <c r="B30" s="28" t="s">
        <v>54</v>
      </c>
      <c r="C30" s="28" t="s">
        <v>26</v>
      </c>
      <c r="D30" s="28" t="s">
        <v>44</v>
      </c>
      <c r="E30" s="28">
        <v>13</v>
      </c>
      <c r="F30" s="28">
        <v>1000</v>
      </c>
      <c r="G30" s="28">
        <v>20</v>
      </c>
      <c r="H30" s="28" t="s">
        <v>24</v>
      </c>
      <c r="I30" s="29">
        <v>44991</v>
      </c>
      <c r="J30" s="28">
        <f t="shared" si="0"/>
        <v>10400</v>
      </c>
      <c r="K30" s="28">
        <f t="shared" si="1"/>
        <v>1560</v>
      </c>
      <c r="L30" s="28">
        <f t="shared" si="2"/>
        <v>13000</v>
      </c>
      <c r="M30" s="28">
        <f t="shared" si="3"/>
        <v>6</v>
      </c>
      <c r="N30" s="28">
        <f t="shared" si="4"/>
        <v>3</v>
      </c>
      <c r="O30" s="28">
        <f t="shared" si="5"/>
        <v>2023</v>
      </c>
      <c r="P30" s="28" t="str">
        <f t="shared" si="6"/>
        <v>High Price</v>
      </c>
      <c r="Q30" s="28" t="str">
        <f t="shared" si="7"/>
        <v>Bad</v>
      </c>
      <c r="R30" s="28" t="str">
        <f t="shared" si="8"/>
        <v>High Discount</v>
      </c>
      <c r="S30" s="28" t="str">
        <f t="shared" si="9"/>
        <v>No Review Needed</v>
      </c>
      <c r="T30" s="28" t="str">
        <f t="shared" si="10"/>
        <v>No</v>
      </c>
      <c r="U30" s="1"/>
      <c r="V30" s="1"/>
      <c r="W30" s="1"/>
      <c r="X30" s="1"/>
      <c r="Y30" s="1"/>
    </row>
    <row r="31" spans="1:25" ht="15.75" customHeight="1" x14ac:dyDescent="0.35">
      <c r="A31" s="28" t="s">
        <v>69</v>
      </c>
      <c r="B31" s="28" t="s">
        <v>54</v>
      </c>
      <c r="C31" s="28" t="s">
        <v>37</v>
      </c>
      <c r="D31" s="28" t="s">
        <v>47</v>
      </c>
      <c r="E31" s="28">
        <v>40</v>
      </c>
      <c r="F31" s="28">
        <v>1000</v>
      </c>
      <c r="G31" s="28">
        <v>5</v>
      </c>
      <c r="H31" s="28" t="s">
        <v>24</v>
      </c>
      <c r="I31" s="29">
        <v>45022</v>
      </c>
      <c r="J31" s="28">
        <f t="shared" si="0"/>
        <v>38000</v>
      </c>
      <c r="K31" s="28">
        <f t="shared" si="1"/>
        <v>5700</v>
      </c>
      <c r="L31" s="28">
        <f t="shared" si="2"/>
        <v>40000</v>
      </c>
      <c r="M31" s="28">
        <f t="shared" si="3"/>
        <v>6</v>
      </c>
      <c r="N31" s="28">
        <f t="shared" si="4"/>
        <v>4</v>
      </c>
      <c r="O31" s="28">
        <f t="shared" si="5"/>
        <v>2023</v>
      </c>
      <c r="P31" s="28" t="str">
        <f t="shared" si="6"/>
        <v>High Price</v>
      </c>
      <c r="Q31" s="28" t="str">
        <f t="shared" si="7"/>
        <v>Good</v>
      </c>
      <c r="R31" s="28" t="str">
        <f t="shared" si="8"/>
        <v>Low Discont</v>
      </c>
      <c r="S31" s="28" t="str">
        <f t="shared" si="9"/>
        <v>No Review Needed</v>
      </c>
      <c r="T31" s="28" t="str">
        <f t="shared" si="10"/>
        <v>Ea</v>
      </c>
      <c r="U31" s="1"/>
      <c r="V31" s="1"/>
      <c r="W31" s="1"/>
      <c r="X31" s="1"/>
      <c r="Y31" s="1"/>
    </row>
    <row r="32" spans="1:25" ht="15.75" customHeight="1" x14ac:dyDescent="0.35">
      <c r="A32" s="28" t="s">
        <v>70</v>
      </c>
      <c r="B32" s="28" t="s">
        <v>34</v>
      </c>
      <c r="C32" s="28" t="s">
        <v>26</v>
      </c>
      <c r="D32" s="28" t="s">
        <v>44</v>
      </c>
      <c r="E32" s="28">
        <v>5</v>
      </c>
      <c r="F32" s="28">
        <v>2000</v>
      </c>
      <c r="G32" s="28">
        <v>15</v>
      </c>
      <c r="H32" s="28" t="s">
        <v>32</v>
      </c>
      <c r="I32" s="29">
        <v>45052</v>
      </c>
      <c r="J32" s="28">
        <f t="shared" si="0"/>
        <v>8500</v>
      </c>
      <c r="K32" s="28">
        <f t="shared" si="1"/>
        <v>1275</v>
      </c>
      <c r="L32" s="28">
        <f t="shared" si="2"/>
        <v>10000</v>
      </c>
      <c r="M32" s="28">
        <f t="shared" si="3"/>
        <v>6</v>
      </c>
      <c r="N32" s="28">
        <f t="shared" si="4"/>
        <v>5</v>
      </c>
      <c r="O32" s="28">
        <f t="shared" si="5"/>
        <v>2023</v>
      </c>
      <c r="P32" s="28" t="str">
        <f t="shared" si="6"/>
        <v>High Price</v>
      </c>
      <c r="Q32" s="28" t="str">
        <f t="shared" si="7"/>
        <v>Bad</v>
      </c>
      <c r="R32" s="28" t="str">
        <f t="shared" si="8"/>
        <v>High Discount</v>
      </c>
      <c r="S32" s="28" t="str">
        <f t="shared" si="9"/>
        <v>High Priority Review</v>
      </c>
      <c r="T32" s="28" t="str">
        <f t="shared" si="10"/>
        <v>No</v>
      </c>
      <c r="U32" s="1"/>
      <c r="V32" s="1"/>
      <c r="W32" s="1"/>
      <c r="X32" s="1"/>
      <c r="Y32" s="1"/>
    </row>
    <row r="33" spans="1:25" ht="15.75" customHeight="1" x14ac:dyDescent="0.35">
      <c r="A33" s="28" t="s">
        <v>71</v>
      </c>
      <c r="B33" s="28" t="s">
        <v>43</v>
      </c>
      <c r="C33" s="28" t="s">
        <v>22</v>
      </c>
      <c r="D33" s="28" t="s">
        <v>23</v>
      </c>
      <c r="E33" s="28">
        <v>29</v>
      </c>
      <c r="F33" s="28">
        <v>1750</v>
      </c>
      <c r="G33" s="28">
        <v>20</v>
      </c>
      <c r="H33" s="28" t="s">
        <v>24</v>
      </c>
      <c r="I33" s="29">
        <v>45083</v>
      </c>
      <c r="J33" s="28">
        <f t="shared" si="0"/>
        <v>40600</v>
      </c>
      <c r="K33" s="28">
        <f t="shared" si="1"/>
        <v>6090</v>
      </c>
      <c r="L33" s="28">
        <f t="shared" si="2"/>
        <v>50750</v>
      </c>
      <c r="M33" s="28">
        <f t="shared" si="3"/>
        <v>6</v>
      </c>
      <c r="N33" s="28">
        <f t="shared" si="4"/>
        <v>6</v>
      </c>
      <c r="O33" s="28">
        <f t="shared" si="5"/>
        <v>2023</v>
      </c>
      <c r="P33" s="28" t="str">
        <f t="shared" si="6"/>
        <v>High Price</v>
      </c>
      <c r="Q33" s="28" t="str">
        <f t="shared" si="7"/>
        <v>Good</v>
      </c>
      <c r="R33" s="28" t="str">
        <f t="shared" si="8"/>
        <v>High Discount</v>
      </c>
      <c r="S33" s="28" t="str">
        <f t="shared" si="9"/>
        <v>No Review Needed</v>
      </c>
      <c r="T33" s="28" t="str">
        <f t="shared" si="10"/>
        <v>So</v>
      </c>
      <c r="U33" s="1"/>
      <c r="V33" s="1"/>
      <c r="W33" s="1"/>
      <c r="X33" s="1"/>
      <c r="Y33" s="1"/>
    </row>
    <row r="34" spans="1:25" ht="15.75" customHeight="1" x14ac:dyDescent="0.35">
      <c r="A34" s="28" t="s">
        <v>72</v>
      </c>
      <c r="B34" s="28" t="s">
        <v>36</v>
      </c>
      <c r="C34" s="28" t="s">
        <v>26</v>
      </c>
      <c r="D34" s="28" t="s">
        <v>27</v>
      </c>
      <c r="E34" s="28">
        <v>10</v>
      </c>
      <c r="F34" s="28">
        <v>750</v>
      </c>
      <c r="G34" s="28">
        <v>0</v>
      </c>
      <c r="H34" s="28" t="s">
        <v>24</v>
      </c>
      <c r="I34" s="29">
        <v>45113</v>
      </c>
      <c r="J34" s="28">
        <f t="shared" si="0"/>
        <v>7500</v>
      </c>
      <c r="K34" s="28">
        <f t="shared" si="1"/>
        <v>1125</v>
      </c>
      <c r="L34" s="28">
        <f t="shared" si="2"/>
        <v>7500</v>
      </c>
      <c r="M34" s="28">
        <f t="shared" si="3"/>
        <v>6</v>
      </c>
      <c r="N34" s="28">
        <f t="shared" si="4"/>
        <v>7</v>
      </c>
      <c r="O34" s="28">
        <f t="shared" si="5"/>
        <v>2023</v>
      </c>
      <c r="P34" s="28" t="str">
        <f t="shared" si="6"/>
        <v>High Price</v>
      </c>
      <c r="Q34" s="28" t="str">
        <f t="shared" si="7"/>
        <v>Bad</v>
      </c>
      <c r="R34" s="28" t="str">
        <f t="shared" si="8"/>
        <v>No Discount</v>
      </c>
      <c r="S34" s="28" t="str">
        <f t="shared" si="9"/>
        <v>No Review Needed</v>
      </c>
      <c r="T34" s="28" t="str">
        <f t="shared" si="10"/>
        <v>No</v>
      </c>
      <c r="U34" s="1"/>
      <c r="V34" s="1"/>
      <c r="W34" s="1"/>
      <c r="X34" s="1"/>
      <c r="Y34" s="1"/>
    </row>
    <row r="35" spans="1:25" ht="15.75" customHeight="1" x14ac:dyDescent="0.35">
      <c r="A35" s="28" t="s">
        <v>73</v>
      </c>
      <c r="B35" s="28" t="s">
        <v>43</v>
      </c>
      <c r="C35" s="28" t="s">
        <v>30</v>
      </c>
      <c r="D35" s="28" t="s">
        <v>74</v>
      </c>
      <c r="E35" s="28">
        <v>31</v>
      </c>
      <c r="F35" s="28">
        <v>1750</v>
      </c>
      <c r="G35" s="28">
        <v>20</v>
      </c>
      <c r="H35" s="28" t="s">
        <v>24</v>
      </c>
      <c r="I35" s="29">
        <v>45144</v>
      </c>
      <c r="J35" s="28">
        <f t="shared" si="0"/>
        <v>43400</v>
      </c>
      <c r="K35" s="28">
        <f t="shared" si="1"/>
        <v>6510</v>
      </c>
      <c r="L35" s="28">
        <f t="shared" si="2"/>
        <v>54250</v>
      </c>
      <c r="M35" s="28">
        <f t="shared" si="3"/>
        <v>6</v>
      </c>
      <c r="N35" s="28">
        <f t="shared" si="4"/>
        <v>8</v>
      </c>
      <c r="O35" s="28">
        <f t="shared" si="5"/>
        <v>2023</v>
      </c>
      <c r="P35" s="28" t="str">
        <f t="shared" si="6"/>
        <v>High Price</v>
      </c>
      <c r="Q35" s="28" t="str">
        <f t="shared" si="7"/>
        <v>Good</v>
      </c>
      <c r="R35" s="28" t="str">
        <f t="shared" si="8"/>
        <v>High Discount</v>
      </c>
      <c r="S35" s="28" t="str">
        <f t="shared" si="9"/>
        <v>No Review Needed</v>
      </c>
      <c r="T35" s="28" t="str">
        <f t="shared" si="10"/>
        <v>We</v>
      </c>
      <c r="U35" s="1"/>
      <c r="V35" s="1"/>
      <c r="W35" s="1"/>
      <c r="X35" s="1"/>
      <c r="Y35" s="1"/>
    </row>
    <row r="36" spans="1:25" ht="15.75" customHeight="1" x14ac:dyDescent="0.35">
      <c r="A36" s="28" t="s">
        <v>75</v>
      </c>
      <c r="B36" s="28" t="s">
        <v>43</v>
      </c>
      <c r="C36" s="28" t="s">
        <v>30</v>
      </c>
      <c r="D36" s="28" t="s">
        <v>31</v>
      </c>
      <c r="E36" s="28">
        <v>3</v>
      </c>
      <c r="F36" s="28">
        <v>1750</v>
      </c>
      <c r="G36" s="28">
        <v>10</v>
      </c>
      <c r="H36" s="28" t="s">
        <v>24</v>
      </c>
      <c r="I36" s="29">
        <v>45205</v>
      </c>
      <c r="J36" s="28">
        <f t="shared" si="0"/>
        <v>4725</v>
      </c>
      <c r="K36" s="28">
        <f t="shared" si="1"/>
        <v>708.75</v>
      </c>
      <c r="L36" s="28">
        <f t="shared" si="2"/>
        <v>5250</v>
      </c>
      <c r="M36" s="28">
        <f t="shared" si="3"/>
        <v>6</v>
      </c>
      <c r="N36" s="28">
        <f t="shared" si="4"/>
        <v>10</v>
      </c>
      <c r="O36" s="28">
        <f t="shared" si="5"/>
        <v>2023</v>
      </c>
      <c r="P36" s="28" t="str">
        <f t="shared" si="6"/>
        <v>High Price</v>
      </c>
      <c r="Q36" s="28" t="str">
        <f t="shared" si="7"/>
        <v>Bad</v>
      </c>
      <c r="R36" s="28" t="str">
        <f t="shared" si="8"/>
        <v>Low Discont</v>
      </c>
      <c r="S36" s="28" t="str">
        <f t="shared" si="9"/>
        <v>No Review Needed</v>
      </c>
      <c r="T36" s="28" t="str">
        <f t="shared" si="10"/>
        <v>We</v>
      </c>
      <c r="U36" s="1"/>
      <c r="V36" s="1"/>
      <c r="W36" s="1"/>
      <c r="X36" s="1"/>
      <c r="Y36" s="1"/>
    </row>
    <row r="37" spans="1:25" ht="15.75" customHeight="1" x14ac:dyDescent="0.35">
      <c r="A37" s="28" t="s">
        <v>76</v>
      </c>
      <c r="B37" s="28" t="s">
        <v>39</v>
      </c>
      <c r="C37" s="28" t="s">
        <v>22</v>
      </c>
      <c r="D37" s="28" t="s">
        <v>77</v>
      </c>
      <c r="E37" s="28">
        <v>22</v>
      </c>
      <c r="F37" s="28">
        <v>250</v>
      </c>
      <c r="G37" s="28">
        <v>15</v>
      </c>
      <c r="H37" s="28" t="s">
        <v>24</v>
      </c>
      <c r="I37" s="29">
        <v>45236</v>
      </c>
      <c r="J37" s="28">
        <f t="shared" si="0"/>
        <v>4675</v>
      </c>
      <c r="K37" s="28">
        <f t="shared" si="1"/>
        <v>701.25</v>
      </c>
      <c r="L37" s="28">
        <f t="shared" si="2"/>
        <v>5500</v>
      </c>
      <c r="M37" s="28">
        <f t="shared" si="3"/>
        <v>6</v>
      </c>
      <c r="N37" s="28">
        <f t="shared" si="4"/>
        <v>11</v>
      </c>
      <c r="O37" s="28">
        <f t="shared" si="5"/>
        <v>2023</v>
      </c>
      <c r="P37" s="28" t="str">
        <f t="shared" si="6"/>
        <v>Low Price</v>
      </c>
      <c r="Q37" s="28" t="str">
        <f t="shared" si="7"/>
        <v>Bad</v>
      </c>
      <c r="R37" s="28" t="str">
        <f t="shared" si="8"/>
        <v>High Discount</v>
      </c>
      <c r="S37" s="28" t="str">
        <f t="shared" si="9"/>
        <v>No Review Needed</v>
      </c>
      <c r="T37" s="28" t="str">
        <f t="shared" si="10"/>
        <v>So</v>
      </c>
      <c r="U37" s="1"/>
      <c r="V37" s="1"/>
      <c r="W37" s="1"/>
      <c r="X37" s="1"/>
      <c r="Y37" s="1"/>
    </row>
    <row r="38" spans="1:25" ht="15.75" customHeight="1" x14ac:dyDescent="0.35">
      <c r="A38" s="28" t="s">
        <v>78</v>
      </c>
      <c r="B38" s="28" t="s">
        <v>29</v>
      </c>
      <c r="C38" s="28" t="s">
        <v>30</v>
      </c>
      <c r="D38" s="28" t="s">
        <v>74</v>
      </c>
      <c r="E38" s="28">
        <v>5</v>
      </c>
      <c r="F38" s="28">
        <v>5000</v>
      </c>
      <c r="G38" s="28">
        <v>20</v>
      </c>
      <c r="H38" s="28" t="s">
        <v>32</v>
      </c>
      <c r="I38" s="29">
        <v>45236</v>
      </c>
      <c r="J38" s="28">
        <f t="shared" si="0"/>
        <v>20000</v>
      </c>
      <c r="K38" s="28">
        <f t="shared" si="1"/>
        <v>3000</v>
      </c>
      <c r="L38" s="28">
        <f t="shared" si="2"/>
        <v>25000</v>
      </c>
      <c r="M38" s="28">
        <f t="shared" si="3"/>
        <v>6</v>
      </c>
      <c r="N38" s="28">
        <f t="shared" si="4"/>
        <v>11</v>
      </c>
      <c r="O38" s="28">
        <f t="shared" si="5"/>
        <v>2023</v>
      </c>
      <c r="P38" s="28" t="str">
        <f t="shared" si="6"/>
        <v>High Price</v>
      </c>
      <c r="Q38" s="28" t="str">
        <f t="shared" si="7"/>
        <v>Good</v>
      </c>
      <c r="R38" s="28" t="str">
        <f t="shared" si="8"/>
        <v>High Discount</v>
      </c>
      <c r="S38" s="28" t="str">
        <f t="shared" si="9"/>
        <v>High Priority Review</v>
      </c>
      <c r="T38" s="28" t="str">
        <f t="shared" si="10"/>
        <v>We</v>
      </c>
      <c r="U38" s="1"/>
      <c r="V38" s="1"/>
      <c r="W38" s="1"/>
      <c r="X38" s="1"/>
      <c r="Y38" s="1"/>
    </row>
    <row r="39" spans="1:25" ht="15.75" customHeight="1" x14ac:dyDescent="0.35">
      <c r="A39" s="28" t="s">
        <v>79</v>
      </c>
      <c r="B39" s="28" t="s">
        <v>43</v>
      </c>
      <c r="C39" s="28" t="s">
        <v>37</v>
      </c>
      <c r="D39" s="28" t="s">
        <v>41</v>
      </c>
      <c r="E39" s="28">
        <v>5</v>
      </c>
      <c r="F39" s="28">
        <v>1750</v>
      </c>
      <c r="G39" s="28">
        <v>10</v>
      </c>
      <c r="H39" s="28" t="s">
        <v>24</v>
      </c>
      <c r="I39" s="29">
        <v>45266</v>
      </c>
      <c r="J39" s="28">
        <f t="shared" si="0"/>
        <v>7875</v>
      </c>
      <c r="K39" s="28">
        <f t="shared" si="1"/>
        <v>1181.25</v>
      </c>
      <c r="L39" s="28">
        <f t="shared" si="2"/>
        <v>8750</v>
      </c>
      <c r="M39" s="28">
        <f t="shared" si="3"/>
        <v>6</v>
      </c>
      <c r="N39" s="28">
        <f t="shared" si="4"/>
        <v>12</v>
      </c>
      <c r="O39" s="28">
        <f t="shared" si="5"/>
        <v>2023</v>
      </c>
      <c r="P39" s="28" t="str">
        <f t="shared" si="6"/>
        <v>High Price</v>
      </c>
      <c r="Q39" s="28" t="str">
        <f t="shared" si="7"/>
        <v>Bad</v>
      </c>
      <c r="R39" s="28" t="str">
        <f t="shared" si="8"/>
        <v>Low Discont</v>
      </c>
      <c r="S39" s="28" t="str">
        <f t="shared" si="9"/>
        <v>No Review Needed</v>
      </c>
      <c r="T39" s="28" t="str">
        <f t="shared" si="10"/>
        <v>Ea</v>
      </c>
      <c r="U39" s="1"/>
      <c r="V39" s="1"/>
      <c r="W39" s="1"/>
      <c r="X39" s="1"/>
      <c r="Y39" s="1"/>
    </row>
    <row r="40" spans="1:25" ht="15.75" customHeight="1" x14ac:dyDescent="0.35">
      <c r="A40" s="28" t="s">
        <v>80</v>
      </c>
      <c r="B40" s="28" t="s">
        <v>29</v>
      </c>
      <c r="C40" s="28" t="s">
        <v>30</v>
      </c>
      <c r="D40" s="28" t="s">
        <v>74</v>
      </c>
      <c r="E40" s="28">
        <v>10</v>
      </c>
      <c r="F40" s="28">
        <v>5000</v>
      </c>
      <c r="G40" s="28">
        <v>15</v>
      </c>
      <c r="H40" s="28" t="s">
        <v>24</v>
      </c>
      <c r="I40" s="29">
        <v>45266</v>
      </c>
      <c r="J40" s="28">
        <f t="shared" si="0"/>
        <v>42500</v>
      </c>
      <c r="K40" s="28">
        <f t="shared" si="1"/>
        <v>6375</v>
      </c>
      <c r="L40" s="28">
        <f t="shared" si="2"/>
        <v>50000</v>
      </c>
      <c r="M40" s="28">
        <f t="shared" si="3"/>
        <v>6</v>
      </c>
      <c r="N40" s="28">
        <f t="shared" si="4"/>
        <v>12</v>
      </c>
      <c r="O40" s="28">
        <f t="shared" si="5"/>
        <v>2023</v>
      </c>
      <c r="P40" s="28" t="str">
        <f t="shared" si="6"/>
        <v>High Price</v>
      </c>
      <c r="Q40" s="28" t="str">
        <f t="shared" si="7"/>
        <v>Good</v>
      </c>
      <c r="R40" s="28" t="str">
        <f t="shared" si="8"/>
        <v>High Discount</v>
      </c>
      <c r="S40" s="28" t="str">
        <f t="shared" si="9"/>
        <v>No Review Needed</v>
      </c>
      <c r="T40" s="28" t="str">
        <f t="shared" si="10"/>
        <v>We</v>
      </c>
      <c r="U40" s="1"/>
      <c r="V40" s="1"/>
      <c r="W40" s="1"/>
      <c r="X40" s="1"/>
      <c r="Y40" s="1"/>
    </row>
    <row r="41" spans="1:25" ht="15.75" customHeight="1" x14ac:dyDescent="0.35">
      <c r="A41" s="28" t="s">
        <v>81</v>
      </c>
      <c r="B41" s="28" t="s">
        <v>57</v>
      </c>
      <c r="C41" s="28" t="s">
        <v>37</v>
      </c>
      <c r="D41" s="28" t="s">
        <v>41</v>
      </c>
      <c r="E41" s="28">
        <v>30</v>
      </c>
      <c r="F41" s="28">
        <v>3000</v>
      </c>
      <c r="G41" s="28">
        <v>0</v>
      </c>
      <c r="H41" s="28" t="s">
        <v>24</v>
      </c>
      <c r="I41" s="29">
        <v>44933</v>
      </c>
      <c r="J41" s="28">
        <f t="shared" si="0"/>
        <v>90000</v>
      </c>
      <c r="K41" s="28">
        <f t="shared" si="1"/>
        <v>13500</v>
      </c>
      <c r="L41" s="28">
        <f t="shared" si="2"/>
        <v>90000</v>
      </c>
      <c r="M41" s="28">
        <f t="shared" si="3"/>
        <v>7</v>
      </c>
      <c r="N41" s="28">
        <f t="shared" si="4"/>
        <v>1</v>
      </c>
      <c r="O41" s="28">
        <f t="shared" si="5"/>
        <v>2023</v>
      </c>
      <c r="P41" s="28" t="str">
        <f t="shared" si="6"/>
        <v>High Price</v>
      </c>
      <c r="Q41" s="28" t="str">
        <f t="shared" si="7"/>
        <v>Good</v>
      </c>
      <c r="R41" s="28" t="str">
        <f t="shared" si="8"/>
        <v>No Discount</v>
      </c>
      <c r="S41" s="28" t="str">
        <f t="shared" si="9"/>
        <v>No Review Needed</v>
      </c>
      <c r="T41" s="28" t="str">
        <f t="shared" si="10"/>
        <v>Ea</v>
      </c>
      <c r="U41" s="1"/>
      <c r="V41" s="1"/>
      <c r="W41" s="1"/>
      <c r="X41" s="1"/>
      <c r="Y41" s="1"/>
    </row>
    <row r="42" spans="1:25" ht="15.75" customHeight="1" x14ac:dyDescent="0.35">
      <c r="A42" s="28" t="s">
        <v>82</v>
      </c>
      <c r="B42" s="28" t="s">
        <v>57</v>
      </c>
      <c r="C42" s="28" t="s">
        <v>26</v>
      </c>
      <c r="D42" s="28" t="s">
        <v>44</v>
      </c>
      <c r="E42" s="28">
        <v>10</v>
      </c>
      <c r="F42" s="28">
        <v>3000</v>
      </c>
      <c r="G42" s="28">
        <v>15</v>
      </c>
      <c r="H42" s="28" t="s">
        <v>32</v>
      </c>
      <c r="I42" s="29">
        <v>44933</v>
      </c>
      <c r="J42" s="28">
        <f t="shared" si="0"/>
        <v>25500</v>
      </c>
      <c r="K42" s="28">
        <f t="shared" si="1"/>
        <v>3825</v>
      </c>
      <c r="L42" s="28">
        <f t="shared" si="2"/>
        <v>30000</v>
      </c>
      <c r="M42" s="28">
        <f t="shared" si="3"/>
        <v>7</v>
      </c>
      <c r="N42" s="28">
        <f t="shared" si="4"/>
        <v>1</v>
      </c>
      <c r="O42" s="28">
        <f t="shared" si="5"/>
        <v>2023</v>
      </c>
      <c r="P42" s="28" t="str">
        <f t="shared" si="6"/>
        <v>High Price</v>
      </c>
      <c r="Q42" s="28" t="str">
        <f t="shared" si="7"/>
        <v>Good</v>
      </c>
      <c r="R42" s="28" t="str">
        <f t="shared" si="8"/>
        <v>High Discount</v>
      </c>
      <c r="S42" s="28" t="str">
        <f t="shared" si="9"/>
        <v>High Priority Review</v>
      </c>
      <c r="T42" s="28" t="str">
        <f t="shared" si="10"/>
        <v>No</v>
      </c>
      <c r="U42" s="1"/>
      <c r="V42" s="1"/>
      <c r="W42" s="1"/>
      <c r="X42" s="1"/>
      <c r="Y42" s="1"/>
    </row>
    <row r="43" spans="1:25" ht="15.75" customHeight="1" x14ac:dyDescent="0.35">
      <c r="A43" s="28" t="s">
        <v>83</v>
      </c>
      <c r="B43" s="28" t="s">
        <v>54</v>
      </c>
      <c r="C43" s="28" t="s">
        <v>30</v>
      </c>
      <c r="D43" s="28" t="s">
        <v>31</v>
      </c>
      <c r="E43" s="28">
        <v>44</v>
      </c>
      <c r="F43" s="28">
        <v>1000</v>
      </c>
      <c r="G43" s="28">
        <v>10</v>
      </c>
      <c r="H43" s="28" t="s">
        <v>24</v>
      </c>
      <c r="I43" s="29">
        <v>44964</v>
      </c>
      <c r="J43" s="28">
        <f t="shared" si="0"/>
        <v>39600</v>
      </c>
      <c r="K43" s="28">
        <f t="shared" si="1"/>
        <v>5940</v>
      </c>
      <c r="L43" s="28">
        <f t="shared" si="2"/>
        <v>44000</v>
      </c>
      <c r="M43" s="28">
        <f t="shared" si="3"/>
        <v>7</v>
      </c>
      <c r="N43" s="28">
        <f t="shared" si="4"/>
        <v>2</v>
      </c>
      <c r="O43" s="28">
        <f t="shared" si="5"/>
        <v>2023</v>
      </c>
      <c r="P43" s="28" t="str">
        <f t="shared" si="6"/>
        <v>High Price</v>
      </c>
      <c r="Q43" s="28" t="str">
        <f t="shared" si="7"/>
        <v>Good</v>
      </c>
      <c r="R43" s="28" t="str">
        <f t="shared" si="8"/>
        <v>Low Discont</v>
      </c>
      <c r="S43" s="28" t="str">
        <f t="shared" si="9"/>
        <v>No Review Needed</v>
      </c>
      <c r="T43" s="28" t="str">
        <f t="shared" si="10"/>
        <v>We</v>
      </c>
      <c r="U43" s="1"/>
      <c r="V43" s="1"/>
      <c r="W43" s="1"/>
      <c r="X43" s="1"/>
      <c r="Y43" s="1"/>
    </row>
    <row r="44" spans="1:25" ht="15.75" customHeight="1" x14ac:dyDescent="0.35">
      <c r="A44" s="28" t="s">
        <v>84</v>
      </c>
      <c r="B44" s="28" t="s">
        <v>21</v>
      </c>
      <c r="C44" s="28" t="s">
        <v>22</v>
      </c>
      <c r="D44" s="28" t="s">
        <v>77</v>
      </c>
      <c r="E44" s="28">
        <v>20</v>
      </c>
      <c r="F44" s="28">
        <v>500</v>
      </c>
      <c r="G44" s="28">
        <v>15</v>
      </c>
      <c r="H44" s="28" t="s">
        <v>24</v>
      </c>
      <c r="I44" s="29">
        <v>44992</v>
      </c>
      <c r="J44" s="28">
        <f t="shared" si="0"/>
        <v>8500</v>
      </c>
      <c r="K44" s="28">
        <f t="shared" si="1"/>
        <v>1275</v>
      </c>
      <c r="L44" s="28">
        <f t="shared" si="2"/>
        <v>10000</v>
      </c>
      <c r="M44" s="28">
        <f t="shared" si="3"/>
        <v>7</v>
      </c>
      <c r="N44" s="28">
        <f t="shared" si="4"/>
        <v>3</v>
      </c>
      <c r="O44" s="28">
        <f t="shared" si="5"/>
        <v>2023</v>
      </c>
      <c r="P44" s="28" t="str">
        <f t="shared" si="6"/>
        <v>High Price</v>
      </c>
      <c r="Q44" s="28" t="str">
        <f t="shared" si="7"/>
        <v>Bad</v>
      </c>
      <c r="R44" s="28" t="str">
        <f t="shared" si="8"/>
        <v>High Discount</v>
      </c>
      <c r="S44" s="28" t="str">
        <f t="shared" si="9"/>
        <v>No Review Needed</v>
      </c>
      <c r="T44" s="28" t="str">
        <f t="shared" si="10"/>
        <v>So</v>
      </c>
      <c r="U44" s="1"/>
      <c r="V44" s="1"/>
      <c r="W44" s="1"/>
      <c r="X44" s="1"/>
      <c r="Y44" s="1"/>
    </row>
    <row r="45" spans="1:25" ht="15.75" customHeight="1" x14ac:dyDescent="0.35">
      <c r="A45" s="28" t="s">
        <v>85</v>
      </c>
      <c r="B45" s="28" t="s">
        <v>54</v>
      </c>
      <c r="C45" s="28" t="s">
        <v>37</v>
      </c>
      <c r="D45" s="28" t="s">
        <v>41</v>
      </c>
      <c r="E45" s="28">
        <v>16</v>
      </c>
      <c r="F45" s="28">
        <v>1000</v>
      </c>
      <c r="G45" s="28">
        <v>20</v>
      </c>
      <c r="H45" s="28" t="s">
        <v>32</v>
      </c>
      <c r="I45" s="29">
        <v>45206</v>
      </c>
      <c r="J45" s="28">
        <f t="shared" si="0"/>
        <v>12800</v>
      </c>
      <c r="K45" s="28">
        <f t="shared" si="1"/>
        <v>1920</v>
      </c>
      <c r="L45" s="28">
        <f t="shared" si="2"/>
        <v>16000</v>
      </c>
      <c r="M45" s="28">
        <f t="shared" si="3"/>
        <v>7</v>
      </c>
      <c r="N45" s="28">
        <f t="shared" si="4"/>
        <v>10</v>
      </c>
      <c r="O45" s="28">
        <f t="shared" si="5"/>
        <v>2023</v>
      </c>
      <c r="P45" s="28" t="str">
        <f t="shared" si="6"/>
        <v>High Price</v>
      </c>
      <c r="Q45" s="28" t="str">
        <f t="shared" si="7"/>
        <v>Bad</v>
      </c>
      <c r="R45" s="28" t="str">
        <f t="shared" si="8"/>
        <v>High Discount</v>
      </c>
      <c r="S45" s="28" t="str">
        <f t="shared" si="9"/>
        <v>High Priority Review</v>
      </c>
      <c r="T45" s="28" t="str">
        <f t="shared" si="10"/>
        <v>Ea</v>
      </c>
      <c r="U45" s="1"/>
      <c r="V45" s="1"/>
      <c r="W45" s="1"/>
      <c r="X45" s="1"/>
      <c r="Y45" s="1"/>
    </row>
    <row r="46" spans="1:25" ht="15.75" customHeight="1" x14ac:dyDescent="0.35">
      <c r="A46" s="28" t="s">
        <v>86</v>
      </c>
      <c r="B46" s="28" t="s">
        <v>29</v>
      </c>
      <c r="C46" s="28" t="s">
        <v>30</v>
      </c>
      <c r="D46" s="28" t="s">
        <v>74</v>
      </c>
      <c r="E46" s="28">
        <v>4</v>
      </c>
      <c r="F46" s="28">
        <v>5000</v>
      </c>
      <c r="G46" s="28">
        <v>10</v>
      </c>
      <c r="H46" s="28" t="s">
        <v>24</v>
      </c>
      <c r="I46" s="29">
        <v>45237</v>
      </c>
      <c r="J46" s="28">
        <f t="shared" si="0"/>
        <v>18000</v>
      </c>
      <c r="K46" s="28">
        <f t="shared" si="1"/>
        <v>2700</v>
      </c>
      <c r="L46" s="28">
        <f t="shared" si="2"/>
        <v>20000</v>
      </c>
      <c r="M46" s="28">
        <f t="shared" si="3"/>
        <v>7</v>
      </c>
      <c r="N46" s="28">
        <f t="shared" si="4"/>
        <v>11</v>
      </c>
      <c r="O46" s="28">
        <f t="shared" si="5"/>
        <v>2023</v>
      </c>
      <c r="P46" s="28" t="str">
        <f t="shared" si="6"/>
        <v>High Price</v>
      </c>
      <c r="Q46" s="28" t="str">
        <f t="shared" si="7"/>
        <v>Bad</v>
      </c>
      <c r="R46" s="28" t="str">
        <f t="shared" si="8"/>
        <v>Low Discont</v>
      </c>
      <c r="S46" s="28" t="str">
        <f t="shared" si="9"/>
        <v>No Review Needed</v>
      </c>
      <c r="T46" s="28" t="str">
        <f t="shared" si="10"/>
        <v>We</v>
      </c>
      <c r="U46" s="1"/>
      <c r="V46" s="1"/>
      <c r="W46" s="1"/>
      <c r="X46" s="1"/>
      <c r="Y46" s="1"/>
    </row>
    <row r="47" spans="1:25" ht="15.75" customHeight="1" x14ac:dyDescent="0.35">
      <c r="A47" s="28" t="s">
        <v>87</v>
      </c>
      <c r="B47" s="28" t="s">
        <v>36</v>
      </c>
      <c r="C47" s="28" t="s">
        <v>22</v>
      </c>
      <c r="D47" s="28" t="s">
        <v>77</v>
      </c>
      <c r="E47" s="28">
        <v>5</v>
      </c>
      <c r="F47" s="28">
        <v>750</v>
      </c>
      <c r="G47" s="28">
        <v>20</v>
      </c>
      <c r="H47" s="28" t="s">
        <v>24</v>
      </c>
      <c r="I47" s="29">
        <v>45237</v>
      </c>
      <c r="J47" s="28">
        <f t="shared" si="0"/>
        <v>3000</v>
      </c>
      <c r="K47" s="28">
        <f t="shared" si="1"/>
        <v>450</v>
      </c>
      <c r="L47" s="28">
        <f t="shared" si="2"/>
        <v>3750</v>
      </c>
      <c r="M47" s="28">
        <f t="shared" si="3"/>
        <v>7</v>
      </c>
      <c r="N47" s="28">
        <f t="shared" si="4"/>
        <v>11</v>
      </c>
      <c r="O47" s="28">
        <f t="shared" si="5"/>
        <v>2023</v>
      </c>
      <c r="P47" s="28" t="str">
        <f t="shared" si="6"/>
        <v>High Price</v>
      </c>
      <c r="Q47" s="28" t="str">
        <f t="shared" si="7"/>
        <v>Bad</v>
      </c>
      <c r="R47" s="28" t="str">
        <f t="shared" si="8"/>
        <v>High Discount</v>
      </c>
      <c r="S47" s="28" t="str">
        <f t="shared" si="9"/>
        <v>No Review Needed</v>
      </c>
      <c r="T47" s="28" t="str">
        <f t="shared" si="10"/>
        <v>So</v>
      </c>
      <c r="U47" s="1"/>
      <c r="V47" s="1"/>
      <c r="W47" s="1"/>
      <c r="X47" s="1"/>
      <c r="Y47" s="1"/>
    </row>
    <row r="48" spans="1:25" ht="15.75" customHeight="1" x14ac:dyDescent="0.35">
      <c r="A48" s="28" t="s">
        <v>88</v>
      </c>
      <c r="B48" s="28" t="s">
        <v>36</v>
      </c>
      <c r="C48" s="28" t="s">
        <v>30</v>
      </c>
      <c r="D48" s="28" t="s">
        <v>74</v>
      </c>
      <c r="E48" s="28">
        <v>5</v>
      </c>
      <c r="F48" s="28">
        <v>750</v>
      </c>
      <c r="G48" s="28">
        <v>15</v>
      </c>
      <c r="H48" s="28" t="s">
        <v>24</v>
      </c>
      <c r="I48" s="29">
        <v>45267</v>
      </c>
      <c r="J48" s="28">
        <f t="shared" si="0"/>
        <v>3187.5</v>
      </c>
      <c r="K48" s="28">
        <f t="shared" si="1"/>
        <v>478.13</v>
      </c>
      <c r="L48" s="28">
        <f t="shared" si="2"/>
        <v>3750</v>
      </c>
      <c r="M48" s="28">
        <f t="shared" si="3"/>
        <v>7</v>
      </c>
      <c r="N48" s="28">
        <f t="shared" si="4"/>
        <v>12</v>
      </c>
      <c r="O48" s="28">
        <f t="shared" si="5"/>
        <v>2023</v>
      </c>
      <c r="P48" s="28" t="str">
        <f t="shared" si="6"/>
        <v>High Price</v>
      </c>
      <c r="Q48" s="28" t="str">
        <f t="shared" si="7"/>
        <v>Bad</v>
      </c>
      <c r="R48" s="28" t="str">
        <f t="shared" si="8"/>
        <v>High Discount</v>
      </c>
      <c r="S48" s="28" t="str">
        <f t="shared" si="9"/>
        <v>No Review Needed</v>
      </c>
      <c r="T48" s="28" t="str">
        <f t="shared" si="10"/>
        <v>We</v>
      </c>
      <c r="U48" s="1"/>
      <c r="V48" s="1"/>
      <c r="W48" s="1"/>
      <c r="X48" s="1"/>
      <c r="Y48" s="1"/>
    </row>
    <row r="49" spans="1:25" ht="15.75" customHeight="1" x14ac:dyDescent="0.35">
      <c r="A49" s="28" t="s">
        <v>89</v>
      </c>
      <c r="B49" s="28" t="s">
        <v>36</v>
      </c>
      <c r="C49" s="28" t="s">
        <v>22</v>
      </c>
      <c r="D49" s="28" t="s">
        <v>77</v>
      </c>
      <c r="E49" s="28">
        <v>9</v>
      </c>
      <c r="F49" s="28">
        <v>750</v>
      </c>
      <c r="G49" s="28">
        <v>20</v>
      </c>
      <c r="H49" s="28" t="s">
        <v>24</v>
      </c>
      <c r="I49" s="29">
        <v>44934</v>
      </c>
      <c r="J49" s="28">
        <f t="shared" si="0"/>
        <v>5400</v>
      </c>
      <c r="K49" s="28">
        <f t="shared" si="1"/>
        <v>810</v>
      </c>
      <c r="L49" s="28">
        <f t="shared" si="2"/>
        <v>6750</v>
      </c>
      <c r="M49" s="28">
        <f t="shared" si="3"/>
        <v>8</v>
      </c>
      <c r="N49" s="28">
        <f t="shared" si="4"/>
        <v>1</v>
      </c>
      <c r="O49" s="28">
        <f t="shared" si="5"/>
        <v>2023</v>
      </c>
      <c r="P49" s="28" t="str">
        <f t="shared" si="6"/>
        <v>High Price</v>
      </c>
      <c r="Q49" s="28" t="str">
        <f t="shared" si="7"/>
        <v>Bad</v>
      </c>
      <c r="R49" s="28" t="str">
        <f t="shared" si="8"/>
        <v>High Discount</v>
      </c>
      <c r="S49" s="28" t="str">
        <f t="shared" si="9"/>
        <v>No Review Needed</v>
      </c>
      <c r="T49" s="28" t="str">
        <f t="shared" si="10"/>
        <v>So</v>
      </c>
      <c r="U49" s="1"/>
      <c r="V49" s="1"/>
      <c r="W49" s="1"/>
      <c r="X49" s="1"/>
      <c r="Y49" s="1"/>
    </row>
    <row r="50" spans="1:25" ht="15.75" customHeight="1" x14ac:dyDescent="0.35">
      <c r="A50" s="28" t="s">
        <v>90</v>
      </c>
      <c r="B50" s="28" t="s">
        <v>36</v>
      </c>
      <c r="C50" s="28" t="s">
        <v>30</v>
      </c>
      <c r="D50" s="28" t="s">
        <v>74</v>
      </c>
      <c r="E50" s="28">
        <v>3</v>
      </c>
      <c r="F50" s="28">
        <v>750</v>
      </c>
      <c r="G50" s="28">
        <v>10</v>
      </c>
      <c r="H50" s="28" t="s">
        <v>24</v>
      </c>
      <c r="I50" s="29">
        <v>44993</v>
      </c>
      <c r="J50" s="28">
        <f t="shared" si="0"/>
        <v>2025</v>
      </c>
      <c r="K50" s="28">
        <f t="shared" si="1"/>
        <v>303.75</v>
      </c>
      <c r="L50" s="28">
        <f t="shared" si="2"/>
        <v>2250</v>
      </c>
      <c r="M50" s="28">
        <f t="shared" si="3"/>
        <v>8</v>
      </c>
      <c r="N50" s="28">
        <f t="shared" si="4"/>
        <v>3</v>
      </c>
      <c r="O50" s="28">
        <f t="shared" si="5"/>
        <v>2023</v>
      </c>
      <c r="P50" s="28" t="str">
        <f t="shared" si="6"/>
        <v>High Price</v>
      </c>
      <c r="Q50" s="28" t="str">
        <f t="shared" si="7"/>
        <v>Bad</v>
      </c>
      <c r="R50" s="28" t="str">
        <f t="shared" si="8"/>
        <v>Low Discont</v>
      </c>
      <c r="S50" s="28" t="str">
        <f t="shared" si="9"/>
        <v>No Review Needed</v>
      </c>
      <c r="T50" s="28" t="str">
        <f t="shared" si="10"/>
        <v>We</v>
      </c>
      <c r="U50" s="1"/>
      <c r="V50" s="1"/>
      <c r="W50" s="1"/>
      <c r="X50" s="1"/>
      <c r="Y50" s="1"/>
    </row>
    <row r="51" spans="1:25" ht="15.75" customHeight="1" x14ac:dyDescent="0.35">
      <c r="A51" s="28" t="s">
        <v>91</v>
      </c>
      <c r="B51" s="28" t="s">
        <v>39</v>
      </c>
      <c r="C51" s="28" t="s">
        <v>30</v>
      </c>
      <c r="D51" s="28" t="s">
        <v>31</v>
      </c>
      <c r="E51" s="28">
        <v>18</v>
      </c>
      <c r="F51" s="28">
        <v>250</v>
      </c>
      <c r="G51" s="28">
        <v>5</v>
      </c>
      <c r="H51" s="28" t="s">
        <v>24</v>
      </c>
      <c r="I51" s="29">
        <v>45024</v>
      </c>
      <c r="J51" s="28">
        <f t="shared" si="0"/>
        <v>4275</v>
      </c>
      <c r="K51" s="28">
        <f t="shared" si="1"/>
        <v>641.25</v>
      </c>
      <c r="L51" s="28">
        <f t="shared" si="2"/>
        <v>4500</v>
      </c>
      <c r="M51" s="28">
        <f t="shared" si="3"/>
        <v>8</v>
      </c>
      <c r="N51" s="28">
        <f t="shared" si="4"/>
        <v>4</v>
      </c>
      <c r="O51" s="28">
        <f t="shared" si="5"/>
        <v>2023</v>
      </c>
      <c r="P51" s="28" t="str">
        <f t="shared" si="6"/>
        <v>Low Price</v>
      </c>
      <c r="Q51" s="28" t="str">
        <f t="shared" si="7"/>
        <v>Bad</v>
      </c>
      <c r="R51" s="28" t="str">
        <f t="shared" si="8"/>
        <v>Low Discont</v>
      </c>
      <c r="S51" s="28" t="str">
        <f t="shared" si="9"/>
        <v>No Review Needed</v>
      </c>
      <c r="T51" s="28" t="str">
        <f t="shared" si="10"/>
        <v>We</v>
      </c>
      <c r="U51" s="1"/>
      <c r="V51" s="1"/>
      <c r="W51" s="1"/>
      <c r="X51" s="1"/>
      <c r="Y51" s="1"/>
    </row>
    <row r="52" spans="1:25" ht="15.75" customHeight="1" x14ac:dyDescent="0.35">
      <c r="A52" s="28" t="s">
        <v>92</v>
      </c>
      <c r="B52" s="28" t="s">
        <v>43</v>
      </c>
      <c r="C52" s="28" t="s">
        <v>22</v>
      </c>
      <c r="D52" s="28" t="s">
        <v>77</v>
      </c>
      <c r="E52" s="28">
        <v>4</v>
      </c>
      <c r="F52" s="28">
        <v>1750</v>
      </c>
      <c r="G52" s="28">
        <v>15</v>
      </c>
      <c r="H52" s="28" t="s">
        <v>24</v>
      </c>
      <c r="I52" s="29">
        <v>45054</v>
      </c>
      <c r="J52" s="28">
        <f t="shared" si="0"/>
        <v>5950</v>
      </c>
      <c r="K52" s="28">
        <f t="shared" si="1"/>
        <v>892.5</v>
      </c>
      <c r="L52" s="28">
        <f t="shared" si="2"/>
        <v>7000</v>
      </c>
      <c r="M52" s="28">
        <f t="shared" si="3"/>
        <v>8</v>
      </c>
      <c r="N52" s="28">
        <f t="shared" si="4"/>
        <v>5</v>
      </c>
      <c r="O52" s="28">
        <f t="shared" si="5"/>
        <v>2023</v>
      </c>
      <c r="P52" s="28" t="str">
        <f t="shared" si="6"/>
        <v>High Price</v>
      </c>
      <c r="Q52" s="28" t="str">
        <f t="shared" si="7"/>
        <v>Bad</v>
      </c>
      <c r="R52" s="28" t="str">
        <f t="shared" si="8"/>
        <v>High Discount</v>
      </c>
      <c r="S52" s="28" t="str">
        <f t="shared" si="9"/>
        <v>No Review Needed</v>
      </c>
      <c r="T52" s="28" t="str">
        <f t="shared" si="10"/>
        <v>So</v>
      </c>
      <c r="U52" s="1"/>
      <c r="V52" s="1"/>
      <c r="W52" s="1"/>
      <c r="X52" s="1"/>
      <c r="Y52" s="1"/>
    </row>
    <row r="53" spans="1:25" ht="15.75" customHeight="1" x14ac:dyDescent="0.35">
      <c r="A53" s="28" t="s">
        <v>93</v>
      </c>
      <c r="B53" s="28" t="s">
        <v>54</v>
      </c>
      <c r="C53" s="28" t="s">
        <v>30</v>
      </c>
      <c r="D53" s="28" t="s">
        <v>74</v>
      </c>
      <c r="E53" s="28">
        <v>24</v>
      </c>
      <c r="F53" s="28">
        <v>1000</v>
      </c>
      <c r="G53" s="28">
        <v>5</v>
      </c>
      <c r="H53" s="28" t="s">
        <v>24</v>
      </c>
      <c r="I53" s="29">
        <v>45085</v>
      </c>
      <c r="J53" s="28">
        <f t="shared" si="0"/>
        <v>22800</v>
      </c>
      <c r="K53" s="28">
        <f t="shared" si="1"/>
        <v>3420</v>
      </c>
      <c r="L53" s="28">
        <f t="shared" si="2"/>
        <v>24000</v>
      </c>
      <c r="M53" s="28">
        <f t="shared" si="3"/>
        <v>8</v>
      </c>
      <c r="N53" s="28">
        <f t="shared" si="4"/>
        <v>6</v>
      </c>
      <c r="O53" s="28">
        <f t="shared" si="5"/>
        <v>2023</v>
      </c>
      <c r="P53" s="28" t="str">
        <f t="shared" si="6"/>
        <v>High Price</v>
      </c>
      <c r="Q53" s="28" t="str">
        <f t="shared" si="7"/>
        <v>Good</v>
      </c>
      <c r="R53" s="28" t="str">
        <f t="shared" si="8"/>
        <v>Low Discont</v>
      </c>
      <c r="S53" s="28" t="str">
        <f t="shared" si="9"/>
        <v>No Review Needed</v>
      </c>
      <c r="T53" s="28" t="str">
        <f t="shared" si="10"/>
        <v>We</v>
      </c>
      <c r="U53" s="1"/>
      <c r="V53" s="1"/>
      <c r="W53" s="1"/>
      <c r="X53" s="1"/>
      <c r="Y53" s="1"/>
    </row>
    <row r="54" spans="1:25" ht="15.75" customHeight="1" x14ac:dyDescent="0.35">
      <c r="A54" s="28" t="s">
        <v>94</v>
      </c>
      <c r="B54" s="28" t="s">
        <v>34</v>
      </c>
      <c r="C54" s="28" t="s">
        <v>26</v>
      </c>
      <c r="D54" s="28" t="s">
        <v>44</v>
      </c>
      <c r="E54" s="28">
        <v>1</v>
      </c>
      <c r="F54" s="28">
        <v>2000</v>
      </c>
      <c r="G54" s="28">
        <v>15</v>
      </c>
      <c r="H54" s="28" t="s">
        <v>32</v>
      </c>
      <c r="I54" s="29">
        <v>45238</v>
      </c>
      <c r="J54" s="28">
        <f t="shared" si="0"/>
        <v>1700</v>
      </c>
      <c r="K54" s="28">
        <f t="shared" si="1"/>
        <v>255</v>
      </c>
      <c r="L54" s="28">
        <f t="shared" si="2"/>
        <v>2000</v>
      </c>
      <c r="M54" s="28">
        <f t="shared" si="3"/>
        <v>8</v>
      </c>
      <c r="N54" s="28">
        <f t="shared" si="4"/>
        <v>11</v>
      </c>
      <c r="O54" s="28">
        <f t="shared" si="5"/>
        <v>2023</v>
      </c>
      <c r="P54" s="28" t="str">
        <f t="shared" si="6"/>
        <v>High Price</v>
      </c>
      <c r="Q54" s="28" t="str">
        <f t="shared" si="7"/>
        <v>Bad</v>
      </c>
      <c r="R54" s="28" t="str">
        <f t="shared" si="8"/>
        <v>High Discount</v>
      </c>
      <c r="S54" s="28" t="str">
        <f t="shared" si="9"/>
        <v>High Priority Review</v>
      </c>
      <c r="T54" s="28" t="str">
        <f t="shared" si="10"/>
        <v>No</v>
      </c>
      <c r="U54" s="1"/>
      <c r="V54" s="1"/>
      <c r="W54" s="1"/>
      <c r="X54" s="1"/>
      <c r="Y54" s="1"/>
    </row>
    <row r="55" spans="1:25" ht="15.75" customHeight="1" x14ac:dyDescent="0.35">
      <c r="A55" s="28" t="s">
        <v>95</v>
      </c>
      <c r="B55" s="28" t="s">
        <v>29</v>
      </c>
      <c r="C55" s="28" t="s">
        <v>26</v>
      </c>
      <c r="D55" s="28" t="s">
        <v>27</v>
      </c>
      <c r="E55" s="28">
        <v>4</v>
      </c>
      <c r="F55" s="28">
        <v>5000</v>
      </c>
      <c r="G55" s="28"/>
      <c r="H55" s="28" t="s">
        <v>24</v>
      </c>
      <c r="I55" s="29">
        <v>45268</v>
      </c>
      <c r="J55" s="28">
        <f t="shared" si="0"/>
        <v>20000</v>
      </c>
      <c r="K55" s="28">
        <f t="shared" si="1"/>
        <v>3000</v>
      </c>
      <c r="L55" s="28">
        <f t="shared" si="2"/>
        <v>20000</v>
      </c>
      <c r="M55" s="28">
        <f t="shared" si="3"/>
        <v>8</v>
      </c>
      <c r="N55" s="28">
        <f t="shared" si="4"/>
        <v>12</v>
      </c>
      <c r="O55" s="28">
        <f t="shared" si="5"/>
        <v>2023</v>
      </c>
      <c r="P55" s="28" t="str">
        <f t="shared" si="6"/>
        <v>High Price</v>
      </c>
      <c r="Q55" s="28" t="str">
        <f t="shared" si="7"/>
        <v>Good</v>
      </c>
      <c r="R55" s="28" t="str">
        <f t="shared" si="8"/>
        <v>No Discount</v>
      </c>
      <c r="S55" s="28" t="str">
        <f t="shared" si="9"/>
        <v>No Review Needed</v>
      </c>
      <c r="T55" s="28" t="str">
        <f t="shared" si="10"/>
        <v>No</v>
      </c>
      <c r="U55" s="1"/>
      <c r="V55" s="1"/>
      <c r="W55" s="1"/>
      <c r="X55" s="1"/>
      <c r="Y55" s="1"/>
    </row>
    <row r="56" spans="1:25" ht="15.75" customHeight="1" x14ac:dyDescent="0.35">
      <c r="A56" s="28" t="s">
        <v>96</v>
      </c>
      <c r="B56" s="28" t="s">
        <v>57</v>
      </c>
      <c r="C56" s="28" t="s">
        <v>37</v>
      </c>
      <c r="D56" s="28" t="s">
        <v>47</v>
      </c>
      <c r="E56" s="28">
        <v>16</v>
      </c>
      <c r="F56" s="28">
        <v>3000</v>
      </c>
      <c r="G56" s="28">
        <v>5</v>
      </c>
      <c r="H56" s="28" t="s">
        <v>24</v>
      </c>
      <c r="I56" s="29">
        <v>44935</v>
      </c>
      <c r="J56" s="28">
        <f t="shared" si="0"/>
        <v>45600</v>
      </c>
      <c r="K56" s="28">
        <f t="shared" si="1"/>
        <v>6840</v>
      </c>
      <c r="L56" s="28">
        <f t="shared" si="2"/>
        <v>48000</v>
      </c>
      <c r="M56" s="28">
        <f t="shared" si="3"/>
        <v>9</v>
      </c>
      <c r="N56" s="28">
        <f t="shared" si="4"/>
        <v>1</v>
      </c>
      <c r="O56" s="28">
        <f t="shared" si="5"/>
        <v>2023</v>
      </c>
      <c r="P56" s="28" t="str">
        <f t="shared" si="6"/>
        <v>High Price</v>
      </c>
      <c r="Q56" s="28" t="str">
        <f t="shared" si="7"/>
        <v>Good</v>
      </c>
      <c r="R56" s="28" t="str">
        <f t="shared" si="8"/>
        <v>Low Discont</v>
      </c>
      <c r="S56" s="28" t="str">
        <f t="shared" si="9"/>
        <v>No Review Needed</v>
      </c>
      <c r="T56" s="28" t="str">
        <f t="shared" si="10"/>
        <v>Ea</v>
      </c>
      <c r="U56" s="1"/>
      <c r="V56" s="1"/>
      <c r="W56" s="1"/>
      <c r="X56" s="1"/>
      <c r="Y56" s="1"/>
    </row>
    <row r="57" spans="1:25" ht="15.75" customHeight="1" x14ac:dyDescent="0.35">
      <c r="A57" s="28" t="s">
        <v>97</v>
      </c>
      <c r="B57" s="28" t="s">
        <v>43</v>
      </c>
      <c r="C57" s="28" t="s">
        <v>22</v>
      </c>
      <c r="D57" s="28" t="s">
        <v>23</v>
      </c>
      <c r="E57" s="28">
        <v>41</v>
      </c>
      <c r="F57" s="28">
        <v>1750</v>
      </c>
      <c r="G57" s="28">
        <v>10</v>
      </c>
      <c r="H57" s="28" t="s">
        <v>24</v>
      </c>
      <c r="I57" s="29">
        <v>44966</v>
      </c>
      <c r="J57" s="28">
        <f t="shared" si="0"/>
        <v>64575</v>
      </c>
      <c r="K57" s="28">
        <f t="shared" si="1"/>
        <v>9686.25</v>
      </c>
      <c r="L57" s="28">
        <f t="shared" si="2"/>
        <v>71750</v>
      </c>
      <c r="M57" s="28">
        <f t="shared" si="3"/>
        <v>9</v>
      </c>
      <c r="N57" s="28">
        <f t="shared" si="4"/>
        <v>2</v>
      </c>
      <c r="O57" s="28">
        <f t="shared" si="5"/>
        <v>2023</v>
      </c>
      <c r="P57" s="28" t="str">
        <f t="shared" si="6"/>
        <v>High Price</v>
      </c>
      <c r="Q57" s="28" t="str">
        <f t="shared" si="7"/>
        <v>Good</v>
      </c>
      <c r="R57" s="28" t="str">
        <f t="shared" si="8"/>
        <v>Low Discont</v>
      </c>
      <c r="S57" s="28" t="str">
        <f t="shared" si="9"/>
        <v>No Review Needed</v>
      </c>
      <c r="T57" s="28" t="str">
        <f t="shared" si="10"/>
        <v>So</v>
      </c>
      <c r="U57" s="1"/>
      <c r="V57" s="1"/>
      <c r="W57" s="1"/>
      <c r="X57" s="1"/>
      <c r="Y57" s="1"/>
    </row>
    <row r="58" spans="1:25" ht="15.75" customHeight="1" x14ac:dyDescent="0.35">
      <c r="A58" s="28" t="s">
        <v>98</v>
      </c>
      <c r="B58" s="28" t="s">
        <v>54</v>
      </c>
      <c r="C58" s="28" t="s">
        <v>37</v>
      </c>
      <c r="D58" s="28" t="s">
        <v>41</v>
      </c>
      <c r="E58" s="28">
        <v>11</v>
      </c>
      <c r="F58" s="28">
        <v>1000</v>
      </c>
      <c r="G58" s="28">
        <v>5</v>
      </c>
      <c r="H58" s="28" t="s">
        <v>32</v>
      </c>
      <c r="I58" s="29">
        <v>45055</v>
      </c>
      <c r="J58" s="28">
        <f t="shared" si="0"/>
        <v>10450</v>
      </c>
      <c r="K58" s="28">
        <f t="shared" si="1"/>
        <v>1567.5</v>
      </c>
      <c r="L58" s="28">
        <f t="shared" si="2"/>
        <v>11000</v>
      </c>
      <c r="M58" s="28">
        <f t="shared" si="3"/>
        <v>9</v>
      </c>
      <c r="N58" s="28">
        <f t="shared" si="4"/>
        <v>5</v>
      </c>
      <c r="O58" s="28">
        <f t="shared" si="5"/>
        <v>2023</v>
      </c>
      <c r="P58" s="28" t="str">
        <f t="shared" si="6"/>
        <v>High Price</v>
      </c>
      <c r="Q58" s="28" t="str">
        <f t="shared" si="7"/>
        <v>Bad</v>
      </c>
      <c r="R58" s="28" t="str">
        <f t="shared" si="8"/>
        <v>Low Discont</v>
      </c>
      <c r="S58" s="28" t="str">
        <f t="shared" si="9"/>
        <v>Low Priority Review</v>
      </c>
      <c r="T58" s="28" t="str">
        <f t="shared" si="10"/>
        <v>Ea</v>
      </c>
      <c r="U58" s="1"/>
      <c r="V58" s="1"/>
      <c r="W58" s="1"/>
      <c r="X58" s="1"/>
      <c r="Y58" s="1"/>
    </row>
    <row r="59" spans="1:25" ht="15.75" customHeight="1" x14ac:dyDescent="0.35">
      <c r="A59" s="28" t="s">
        <v>99</v>
      </c>
      <c r="B59" s="28" t="s">
        <v>54</v>
      </c>
      <c r="C59" s="28" t="s">
        <v>26</v>
      </c>
      <c r="D59" s="28" t="s">
        <v>27</v>
      </c>
      <c r="E59" s="28">
        <v>39</v>
      </c>
      <c r="F59" s="28">
        <v>1000</v>
      </c>
      <c r="G59" s="28">
        <v>0</v>
      </c>
      <c r="H59" s="28" t="s">
        <v>32</v>
      </c>
      <c r="I59" s="29">
        <v>45086</v>
      </c>
      <c r="J59" s="28">
        <f t="shared" si="0"/>
        <v>39000</v>
      </c>
      <c r="K59" s="28">
        <f t="shared" si="1"/>
        <v>5850</v>
      </c>
      <c r="L59" s="28">
        <f t="shared" si="2"/>
        <v>39000</v>
      </c>
      <c r="M59" s="28">
        <f t="shared" si="3"/>
        <v>9</v>
      </c>
      <c r="N59" s="28">
        <f t="shared" si="4"/>
        <v>6</v>
      </c>
      <c r="O59" s="28">
        <f t="shared" si="5"/>
        <v>2023</v>
      </c>
      <c r="P59" s="28" t="str">
        <f t="shared" si="6"/>
        <v>High Price</v>
      </c>
      <c r="Q59" s="28" t="str">
        <f t="shared" si="7"/>
        <v>Good</v>
      </c>
      <c r="R59" s="28" t="str">
        <f t="shared" si="8"/>
        <v>No Discount</v>
      </c>
      <c r="S59" s="28" t="str">
        <f t="shared" si="9"/>
        <v>Low Priority Review</v>
      </c>
      <c r="T59" s="28" t="str">
        <f t="shared" si="10"/>
        <v>No</v>
      </c>
      <c r="U59" s="1"/>
      <c r="V59" s="1"/>
      <c r="W59" s="1"/>
      <c r="X59" s="1"/>
      <c r="Y59" s="1"/>
    </row>
    <row r="60" spans="1:25" ht="15.75" customHeight="1" x14ac:dyDescent="0.35">
      <c r="A60" s="28" t="s">
        <v>100</v>
      </c>
      <c r="B60" s="28" t="s">
        <v>54</v>
      </c>
      <c r="C60" s="28" t="s">
        <v>37</v>
      </c>
      <c r="D60" s="28" t="s">
        <v>41</v>
      </c>
      <c r="E60" s="28">
        <v>27</v>
      </c>
      <c r="F60" s="28">
        <v>1000</v>
      </c>
      <c r="G60" s="28">
        <v>0</v>
      </c>
      <c r="H60" s="28" t="s">
        <v>32</v>
      </c>
      <c r="I60" s="29">
        <v>45147</v>
      </c>
      <c r="J60" s="28">
        <f t="shared" si="0"/>
        <v>27000</v>
      </c>
      <c r="K60" s="28">
        <f t="shared" si="1"/>
        <v>4050</v>
      </c>
      <c r="L60" s="28">
        <f t="shared" si="2"/>
        <v>27000</v>
      </c>
      <c r="M60" s="28">
        <f t="shared" si="3"/>
        <v>9</v>
      </c>
      <c r="N60" s="28">
        <f t="shared" si="4"/>
        <v>8</v>
      </c>
      <c r="O60" s="28">
        <f t="shared" si="5"/>
        <v>2023</v>
      </c>
      <c r="P60" s="28" t="str">
        <f t="shared" si="6"/>
        <v>High Price</v>
      </c>
      <c r="Q60" s="28" t="str">
        <f t="shared" si="7"/>
        <v>Good</v>
      </c>
      <c r="R60" s="28" t="str">
        <f t="shared" si="8"/>
        <v>No Discount</v>
      </c>
      <c r="S60" s="28" t="str">
        <f t="shared" si="9"/>
        <v>Low Priority Review</v>
      </c>
      <c r="T60" s="28" t="str">
        <f t="shared" si="10"/>
        <v>Ea</v>
      </c>
      <c r="U60" s="1"/>
      <c r="V60" s="1"/>
      <c r="W60" s="1"/>
      <c r="X60" s="1"/>
      <c r="Y60" s="1"/>
    </row>
    <row r="61" spans="1:25" ht="15.75" customHeight="1" x14ac:dyDescent="0.35">
      <c r="A61" s="28" t="s">
        <v>101</v>
      </c>
      <c r="B61" s="28" t="s">
        <v>43</v>
      </c>
      <c r="C61" s="28" t="s">
        <v>26</v>
      </c>
      <c r="D61" s="28" t="s">
        <v>44</v>
      </c>
      <c r="E61" s="28">
        <v>5</v>
      </c>
      <c r="F61" s="28">
        <v>1750</v>
      </c>
      <c r="G61" s="28">
        <v>20</v>
      </c>
      <c r="H61" s="28" t="s">
        <v>24</v>
      </c>
      <c r="I61" s="29">
        <v>45208</v>
      </c>
      <c r="J61" s="28">
        <f t="shared" si="0"/>
        <v>7000</v>
      </c>
      <c r="K61" s="28">
        <f t="shared" si="1"/>
        <v>1050</v>
      </c>
      <c r="L61" s="28">
        <f t="shared" si="2"/>
        <v>8750</v>
      </c>
      <c r="M61" s="28">
        <f t="shared" si="3"/>
        <v>9</v>
      </c>
      <c r="N61" s="28">
        <f t="shared" si="4"/>
        <v>10</v>
      </c>
      <c r="O61" s="28">
        <f t="shared" si="5"/>
        <v>2023</v>
      </c>
      <c r="P61" s="28" t="str">
        <f t="shared" si="6"/>
        <v>High Price</v>
      </c>
      <c r="Q61" s="28" t="str">
        <f t="shared" si="7"/>
        <v>Bad</v>
      </c>
      <c r="R61" s="28" t="str">
        <f t="shared" si="8"/>
        <v>High Discount</v>
      </c>
      <c r="S61" s="28" t="str">
        <f t="shared" si="9"/>
        <v>No Review Needed</v>
      </c>
      <c r="T61" s="28" t="str">
        <f t="shared" si="10"/>
        <v>No</v>
      </c>
      <c r="U61" s="1"/>
      <c r="V61" s="1"/>
      <c r="W61" s="1"/>
      <c r="X61" s="1"/>
      <c r="Y61" s="1"/>
    </row>
    <row r="62" spans="1:25" ht="15.75" customHeight="1" x14ac:dyDescent="0.35">
      <c r="A62" s="28" t="s">
        <v>102</v>
      </c>
      <c r="B62" s="28" t="s">
        <v>39</v>
      </c>
      <c r="C62" s="28" t="s">
        <v>26</v>
      </c>
      <c r="D62" s="28" t="s">
        <v>44</v>
      </c>
      <c r="E62" s="28">
        <v>9</v>
      </c>
      <c r="F62" s="28">
        <v>250</v>
      </c>
      <c r="G62" s="28">
        <v>0</v>
      </c>
      <c r="H62" s="28" t="s">
        <v>24</v>
      </c>
      <c r="I62" s="29">
        <v>44995</v>
      </c>
      <c r="J62" s="28">
        <f t="shared" si="0"/>
        <v>2250</v>
      </c>
      <c r="K62" s="28">
        <f t="shared" si="1"/>
        <v>337.5</v>
      </c>
      <c r="L62" s="28">
        <f t="shared" si="2"/>
        <v>2250</v>
      </c>
      <c r="M62" s="28">
        <f t="shared" si="3"/>
        <v>10</v>
      </c>
      <c r="N62" s="28">
        <f t="shared" si="4"/>
        <v>3</v>
      </c>
      <c r="O62" s="28">
        <f t="shared" si="5"/>
        <v>2023</v>
      </c>
      <c r="P62" s="28" t="str">
        <f t="shared" si="6"/>
        <v>Low Price</v>
      </c>
      <c r="Q62" s="28" t="str">
        <f t="shared" si="7"/>
        <v>Bad</v>
      </c>
      <c r="R62" s="28" t="str">
        <f t="shared" si="8"/>
        <v>No Discount</v>
      </c>
      <c r="S62" s="28" t="str">
        <f t="shared" si="9"/>
        <v>No Review Needed</v>
      </c>
      <c r="T62" s="28" t="str">
        <f t="shared" si="10"/>
        <v>No</v>
      </c>
      <c r="U62" s="1"/>
      <c r="V62" s="1"/>
      <c r="W62" s="1"/>
      <c r="X62" s="1"/>
      <c r="Y62" s="1"/>
    </row>
    <row r="63" spans="1:25" ht="15.75" customHeight="1" x14ac:dyDescent="0.35">
      <c r="A63" s="28" t="s">
        <v>103</v>
      </c>
      <c r="B63" s="28" t="s">
        <v>54</v>
      </c>
      <c r="C63" s="28" t="s">
        <v>22</v>
      </c>
      <c r="D63" s="28" t="s">
        <v>23</v>
      </c>
      <c r="E63" s="28">
        <v>29</v>
      </c>
      <c r="F63" s="28">
        <v>1000</v>
      </c>
      <c r="G63" s="28">
        <v>5</v>
      </c>
      <c r="H63" s="28" t="s">
        <v>32</v>
      </c>
      <c r="I63" s="29">
        <v>45056</v>
      </c>
      <c r="J63" s="28">
        <f t="shared" si="0"/>
        <v>27550</v>
      </c>
      <c r="K63" s="28">
        <f t="shared" si="1"/>
        <v>4132.5</v>
      </c>
      <c r="L63" s="28">
        <f t="shared" si="2"/>
        <v>29000</v>
      </c>
      <c r="M63" s="28">
        <f t="shared" si="3"/>
        <v>10</v>
      </c>
      <c r="N63" s="28">
        <f t="shared" si="4"/>
        <v>5</v>
      </c>
      <c r="O63" s="28">
        <f t="shared" si="5"/>
        <v>2023</v>
      </c>
      <c r="P63" s="28" t="str">
        <f t="shared" si="6"/>
        <v>High Price</v>
      </c>
      <c r="Q63" s="28" t="str">
        <f t="shared" si="7"/>
        <v>Good</v>
      </c>
      <c r="R63" s="28" t="str">
        <f t="shared" si="8"/>
        <v>Low Discont</v>
      </c>
      <c r="S63" s="28" t="str">
        <f t="shared" si="9"/>
        <v>Low Priority Review</v>
      </c>
      <c r="T63" s="28" t="str">
        <f t="shared" si="10"/>
        <v>So</v>
      </c>
      <c r="U63" s="1"/>
      <c r="V63" s="1"/>
      <c r="W63" s="1"/>
      <c r="X63" s="1"/>
      <c r="Y63" s="1"/>
    </row>
    <row r="64" spans="1:25" ht="15.75" customHeight="1" x14ac:dyDescent="0.35">
      <c r="A64" s="28" t="s">
        <v>104</v>
      </c>
      <c r="B64" s="28" t="s">
        <v>39</v>
      </c>
      <c r="C64" s="28" t="s">
        <v>22</v>
      </c>
      <c r="D64" s="28" t="s">
        <v>77</v>
      </c>
      <c r="E64" s="28">
        <v>12</v>
      </c>
      <c r="F64" s="28">
        <v>250</v>
      </c>
      <c r="G64" s="28">
        <v>15</v>
      </c>
      <c r="H64" s="28" t="s">
        <v>32</v>
      </c>
      <c r="I64" s="29">
        <v>45117</v>
      </c>
      <c r="J64" s="28">
        <f t="shared" si="0"/>
        <v>2550</v>
      </c>
      <c r="K64" s="28">
        <f t="shared" si="1"/>
        <v>382.5</v>
      </c>
      <c r="L64" s="28">
        <f t="shared" si="2"/>
        <v>3000</v>
      </c>
      <c r="M64" s="28">
        <f t="shared" si="3"/>
        <v>10</v>
      </c>
      <c r="N64" s="28">
        <f t="shared" si="4"/>
        <v>7</v>
      </c>
      <c r="O64" s="28">
        <f t="shared" si="5"/>
        <v>2023</v>
      </c>
      <c r="P64" s="28" t="str">
        <f t="shared" si="6"/>
        <v>Low Price</v>
      </c>
      <c r="Q64" s="28" t="str">
        <f t="shared" si="7"/>
        <v>Bad</v>
      </c>
      <c r="R64" s="28" t="str">
        <f t="shared" si="8"/>
        <v>High Discount</v>
      </c>
      <c r="S64" s="28" t="str">
        <f t="shared" si="9"/>
        <v>High Priority Review</v>
      </c>
      <c r="T64" s="28" t="str">
        <f t="shared" si="10"/>
        <v>So</v>
      </c>
      <c r="U64" s="1"/>
      <c r="V64" s="1"/>
      <c r="W64" s="1"/>
      <c r="X64" s="1"/>
      <c r="Y64" s="1"/>
    </row>
    <row r="65" spans="1:25" ht="15.75" customHeight="1" x14ac:dyDescent="0.35">
      <c r="A65" s="28" t="s">
        <v>105</v>
      </c>
      <c r="B65" s="28" t="s">
        <v>29</v>
      </c>
      <c r="C65" s="28" t="s">
        <v>22</v>
      </c>
      <c r="D65" s="28" t="s">
        <v>23</v>
      </c>
      <c r="E65" s="28">
        <v>4</v>
      </c>
      <c r="F65" s="28">
        <v>5000</v>
      </c>
      <c r="G65" s="28">
        <v>10</v>
      </c>
      <c r="H65" s="28" t="s">
        <v>32</v>
      </c>
      <c r="I65" s="29">
        <v>45209</v>
      </c>
      <c r="J65" s="28">
        <f t="shared" si="0"/>
        <v>18000</v>
      </c>
      <c r="K65" s="28">
        <f t="shared" si="1"/>
        <v>2700</v>
      </c>
      <c r="L65" s="28">
        <f t="shared" si="2"/>
        <v>20000</v>
      </c>
      <c r="M65" s="28">
        <f t="shared" si="3"/>
        <v>10</v>
      </c>
      <c r="N65" s="28">
        <f t="shared" si="4"/>
        <v>10</v>
      </c>
      <c r="O65" s="28">
        <f t="shared" si="5"/>
        <v>2023</v>
      </c>
      <c r="P65" s="28" t="str">
        <f t="shared" si="6"/>
        <v>High Price</v>
      </c>
      <c r="Q65" s="28" t="str">
        <f t="shared" si="7"/>
        <v>Bad</v>
      </c>
      <c r="R65" s="28" t="str">
        <f t="shared" si="8"/>
        <v>Low Discont</v>
      </c>
      <c r="S65" s="28" t="str">
        <f t="shared" si="9"/>
        <v>Low Priority Review</v>
      </c>
      <c r="T65" s="28" t="str">
        <f t="shared" si="10"/>
        <v>So</v>
      </c>
      <c r="U65" s="1"/>
      <c r="V65" s="1"/>
      <c r="W65" s="1"/>
      <c r="X65" s="1"/>
      <c r="Y65" s="1"/>
    </row>
    <row r="66" spans="1:25" ht="15.75" customHeight="1" x14ac:dyDescent="0.35">
      <c r="A66" s="28" t="s">
        <v>106</v>
      </c>
      <c r="B66" s="28" t="s">
        <v>43</v>
      </c>
      <c r="C66" s="28" t="s">
        <v>37</v>
      </c>
      <c r="D66" s="28" t="s">
        <v>47</v>
      </c>
      <c r="E66" s="28">
        <v>49</v>
      </c>
      <c r="F66" s="28">
        <v>1750</v>
      </c>
      <c r="G66" s="28">
        <v>5</v>
      </c>
      <c r="H66" s="28" t="s">
        <v>32</v>
      </c>
      <c r="I66" s="29">
        <v>44937</v>
      </c>
      <c r="J66" s="28">
        <f t="shared" si="0"/>
        <v>81462.5</v>
      </c>
      <c r="K66" s="28">
        <f t="shared" si="1"/>
        <v>12219.38</v>
      </c>
      <c r="L66" s="28">
        <f t="shared" si="2"/>
        <v>85750</v>
      </c>
      <c r="M66" s="28">
        <f t="shared" si="3"/>
        <v>11</v>
      </c>
      <c r="N66" s="28">
        <f t="shared" si="4"/>
        <v>1</v>
      </c>
      <c r="O66" s="28">
        <f t="shared" si="5"/>
        <v>2023</v>
      </c>
      <c r="P66" s="28" t="str">
        <f t="shared" si="6"/>
        <v>High Price</v>
      </c>
      <c r="Q66" s="28" t="str">
        <f t="shared" si="7"/>
        <v>Good</v>
      </c>
      <c r="R66" s="28" t="str">
        <f t="shared" si="8"/>
        <v>Low Discont</v>
      </c>
      <c r="S66" s="28" t="str">
        <f t="shared" si="9"/>
        <v>Low Priority Review</v>
      </c>
      <c r="T66" s="28" t="str">
        <f t="shared" si="10"/>
        <v>Ea</v>
      </c>
      <c r="U66" s="1"/>
      <c r="V66" s="1"/>
      <c r="W66" s="1"/>
      <c r="X66" s="1"/>
      <c r="Y66" s="1"/>
    </row>
    <row r="67" spans="1:25" ht="15.75" customHeight="1" x14ac:dyDescent="0.35">
      <c r="A67" s="28" t="s">
        <v>107</v>
      </c>
      <c r="B67" s="28" t="s">
        <v>21</v>
      </c>
      <c r="C67" s="28" t="s">
        <v>22</v>
      </c>
      <c r="D67" s="28" t="s">
        <v>77</v>
      </c>
      <c r="E67" s="28">
        <v>32</v>
      </c>
      <c r="F67" s="28">
        <v>500</v>
      </c>
      <c r="G67" s="28">
        <v>15</v>
      </c>
      <c r="H67" s="28" t="s">
        <v>32</v>
      </c>
      <c r="I67" s="29">
        <v>44968</v>
      </c>
      <c r="J67" s="28">
        <f t="shared" ref="J67:J130" si="11">E67*F67*(1-G67/100)</f>
        <v>13600</v>
      </c>
      <c r="K67" s="28">
        <f t="shared" ref="K67:K130" si="12">ROUND(J67*15%,2)</f>
        <v>2040</v>
      </c>
      <c r="L67" s="28">
        <f t="shared" ref="L67:L130" si="13">E67*F67</f>
        <v>16000</v>
      </c>
      <c r="M67" s="28">
        <f t="shared" ref="M67:M130" si="14">DAY(I67)</f>
        <v>11</v>
      </c>
      <c r="N67" s="28">
        <f t="shared" ref="N67:N130" si="15">MONTH(I67)</f>
        <v>2</v>
      </c>
      <c r="O67" s="28">
        <f t="shared" ref="O67:O130" si="16">YEAR(I67)</f>
        <v>2023</v>
      </c>
      <c r="P67" s="28" t="str">
        <f t="shared" ref="P67:P130" si="17">IF(F67&lt;500,"Low Price","High Price")</f>
        <v>High Price</v>
      </c>
      <c r="Q67" s="28" t="str">
        <f t="shared" ref="Q67:Q130" si="18">IF(J67&gt;=AVERAGE(J:J),"Good","Bad")</f>
        <v>Bad</v>
      </c>
      <c r="R67" s="28" t="str">
        <f t="shared" ref="R67:R130" si="19">IF(G67&gt;10,"High Discount",IF(G67=0,"No Discount","Low Discont"))</f>
        <v>High Discount</v>
      </c>
      <c r="S67" s="28" t="str">
        <f t="shared" ref="S67:S130" si="20">IF(AND(H67="Yes",G67&gt;10),"High Priority Review",IF(H67="Yes","Low Priority Review","No Review Needed"))</f>
        <v>High Priority Review</v>
      </c>
      <c r="T67" s="28" t="str">
        <f t="shared" ref="T67:T130" si="21">LEFT(C67,2)</f>
        <v>So</v>
      </c>
      <c r="U67" s="1"/>
      <c r="V67" s="1"/>
      <c r="W67" s="1"/>
      <c r="X67" s="1"/>
      <c r="Y67" s="1"/>
    </row>
    <row r="68" spans="1:25" ht="15.75" customHeight="1" x14ac:dyDescent="0.35">
      <c r="A68" s="28" t="s">
        <v>108</v>
      </c>
      <c r="B68" s="28" t="s">
        <v>39</v>
      </c>
      <c r="C68" s="28" t="s">
        <v>26</v>
      </c>
      <c r="D68" s="28" t="s">
        <v>44</v>
      </c>
      <c r="E68" s="28">
        <v>21</v>
      </c>
      <c r="F68" s="28">
        <v>250</v>
      </c>
      <c r="G68" s="28">
        <v>5</v>
      </c>
      <c r="H68" s="28" t="s">
        <v>32</v>
      </c>
      <c r="I68" s="29">
        <v>44996</v>
      </c>
      <c r="J68" s="28">
        <f t="shared" si="11"/>
        <v>4987.5</v>
      </c>
      <c r="K68" s="28">
        <f t="shared" si="12"/>
        <v>748.13</v>
      </c>
      <c r="L68" s="28">
        <f t="shared" si="13"/>
        <v>5250</v>
      </c>
      <c r="M68" s="28">
        <f t="shared" si="14"/>
        <v>11</v>
      </c>
      <c r="N68" s="28">
        <f t="shared" si="15"/>
        <v>3</v>
      </c>
      <c r="O68" s="28">
        <f t="shared" si="16"/>
        <v>2023</v>
      </c>
      <c r="P68" s="28" t="str">
        <f t="shared" si="17"/>
        <v>Low Price</v>
      </c>
      <c r="Q68" s="28" t="str">
        <f t="shared" si="18"/>
        <v>Bad</v>
      </c>
      <c r="R68" s="28" t="str">
        <f t="shared" si="19"/>
        <v>Low Discont</v>
      </c>
      <c r="S68" s="28" t="str">
        <f t="shared" si="20"/>
        <v>Low Priority Review</v>
      </c>
      <c r="T68" s="28" t="str">
        <f t="shared" si="21"/>
        <v>No</v>
      </c>
      <c r="U68" s="1"/>
      <c r="V68" s="1"/>
      <c r="W68" s="1"/>
      <c r="X68" s="1"/>
      <c r="Y68" s="1"/>
    </row>
    <row r="69" spans="1:25" ht="15.75" customHeight="1" x14ac:dyDescent="0.35">
      <c r="A69" s="28" t="s">
        <v>109</v>
      </c>
      <c r="B69" s="28" t="s">
        <v>43</v>
      </c>
      <c r="C69" s="28" t="s">
        <v>26</v>
      </c>
      <c r="D69" s="28" t="s">
        <v>27</v>
      </c>
      <c r="E69" s="28">
        <v>15</v>
      </c>
      <c r="F69" s="28">
        <v>1750</v>
      </c>
      <c r="G69" s="28">
        <v>10</v>
      </c>
      <c r="H69" s="28" t="s">
        <v>24</v>
      </c>
      <c r="I69" s="29">
        <v>45057</v>
      </c>
      <c r="J69" s="28">
        <f t="shared" si="11"/>
        <v>23625</v>
      </c>
      <c r="K69" s="28">
        <f t="shared" si="12"/>
        <v>3543.75</v>
      </c>
      <c r="L69" s="28">
        <f t="shared" si="13"/>
        <v>26250</v>
      </c>
      <c r="M69" s="28">
        <f t="shared" si="14"/>
        <v>11</v>
      </c>
      <c r="N69" s="28">
        <f t="shared" si="15"/>
        <v>5</v>
      </c>
      <c r="O69" s="28">
        <f t="shared" si="16"/>
        <v>2023</v>
      </c>
      <c r="P69" s="28" t="str">
        <f t="shared" si="17"/>
        <v>High Price</v>
      </c>
      <c r="Q69" s="28" t="str">
        <f t="shared" si="18"/>
        <v>Good</v>
      </c>
      <c r="R69" s="28" t="str">
        <f t="shared" si="19"/>
        <v>Low Discont</v>
      </c>
      <c r="S69" s="28" t="str">
        <f t="shared" si="20"/>
        <v>No Review Needed</v>
      </c>
      <c r="T69" s="28" t="str">
        <f t="shared" si="21"/>
        <v>No</v>
      </c>
      <c r="U69" s="1"/>
      <c r="V69" s="1"/>
      <c r="W69" s="1"/>
      <c r="X69" s="1"/>
      <c r="Y69" s="1"/>
    </row>
    <row r="70" spans="1:25" ht="15.75" customHeight="1" x14ac:dyDescent="0.35">
      <c r="A70" s="28" t="s">
        <v>110</v>
      </c>
      <c r="B70" s="28" t="s">
        <v>21</v>
      </c>
      <c r="C70" s="28" t="s">
        <v>22</v>
      </c>
      <c r="D70" s="28" t="s">
        <v>77</v>
      </c>
      <c r="E70" s="28">
        <v>28</v>
      </c>
      <c r="F70" s="28">
        <v>500</v>
      </c>
      <c r="G70" s="28">
        <v>15</v>
      </c>
      <c r="H70" s="28" t="s">
        <v>32</v>
      </c>
      <c r="I70" s="29">
        <v>45149</v>
      </c>
      <c r="J70" s="28">
        <f t="shared" si="11"/>
        <v>11900</v>
      </c>
      <c r="K70" s="28">
        <f t="shared" si="12"/>
        <v>1785</v>
      </c>
      <c r="L70" s="28">
        <f t="shared" si="13"/>
        <v>14000</v>
      </c>
      <c r="M70" s="28">
        <f t="shared" si="14"/>
        <v>11</v>
      </c>
      <c r="N70" s="28">
        <f t="shared" si="15"/>
        <v>8</v>
      </c>
      <c r="O70" s="28">
        <f t="shared" si="16"/>
        <v>2023</v>
      </c>
      <c r="P70" s="28" t="str">
        <f t="shared" si="17"/>
        <v>High Price</v>
      </c>
      <c r="Q70" s="28" t="str">
        <f t="shared" si="18"/>
        <v>Bad</v>
      </c>
      <c r="R70" s="28" t="str">
        <f t="shared" si="19"/>
        <v>High Discount</v>
      </c>
      <c r="S70" s="28" t="str">
        <f t="shared" si="20"/>
        <v>High Priority Review</v>
      </c>
      <c r="T70" s="28" t="str">
        <f t="shared" si="21"/>
        <v>So</v>
      </c>
      <c r="U70" s="1"/>
      <c r="V70" s="1"/>
      <c r="W70" s="1"/>
      <c r="X70" s="1"/>
      <c r="Y70" s="1"/>
    </row>
    <row r="71" spans="1:25" ht="15.75" customHeight="1" x14ac:dyDescent="0.35">
      <c r="A71" s="28" t="s">
        <v>111</v>
      </c>
      <c r="B71" s="28" t="s">
        <v>21</v>
      </c>
      <c r="C71" s="28" t="s">
        <v>22</v>
      </c>
      <c r="D71" s="28" t="s">
        <v>23</v>
      </c>
      <c r="E71" s="28">
        <v>23</v>
      </c>
      <c r="F71" s="28">
        <v>500</v>
      </c>
      <c r="G71" s="28">
        <v>0</v>
      </c>
      <c r="H71" s="28" t="s">
        <v>24</v>
      </c>
      <c r="I71" s="29">
        <v>45241</v>
      </c>
      <c r="J71" s="28">
        <f t="shared" si="11"/>
        <v>11500</v>
      </c>
      <c r="K71" s="28">
        <f t="shared" si="12"/>
        <v>1725</v>
      </c>
      <c r="L71" s="28">
        <f t="shared" si="13"/>
        <v>11500</v>
      </c>
      <c r="M71" s="28">
        <f t="shared" si="14"/>
        <v>11</v>
      </c>
      <c r="N71" s="28">
        <f t="shared" si="15"/>
        <v>11</v>
      </c>
      <c r="O71" s="28">
        <f t="shared" si="16"/>
        <v>2023</v>
      </c>
      <c r="P71" s="28" t="str">
        <f t="shared" si="17"/>
        <v>High Price</v>
      </c>
      <c r="Q71" s="28" t="str">
        <f t="shared" si="18"/>
        <v>Bad</v>
      </c>
      <c r="R71" s="28" t="str">
        <f t="shared" si="19"/>
        <v>No Discount</v>
      </c>
      <c r="S71" s="28" t="str">
        <f t="shared" si="20"/>
        <v>No Review Needed</v>
      </c>
      <c r="T71" s="28" t="str">
        <f t="shared" si="21"/>
        <v>So</v>
      </c>
      <c r="U71" s="1"/>
      <c r="V71" s="1"/>
      <c r="W71" s="1"/>
      <c r="X71" s="1"/>
      <c r="Y71" s="1"/>
    </row>
    <row r="72" spans="1:25" ht="15.75" customHeight="1" x14ac:dyDescent="0.35">
      <c r="A72" s="28" t="s">
        <v>112</v>
      </c>
      <c r="B72" s="28" t="s">
        <v>54</v>
      </c>
      <c r="C72" s="28" t="s">
        <v>22</v>
      </c>
      <c r="D72" s="28" t="s">
        <v>77</v>
      </c>
      <c r="E72" s="28">
        <v>15</v>
      </c>
      <c r="F72" s="28">
        <v>1000</v>
      </c>
      <c r="G72" s="28">
        <v>20</v>
      </c>
      <c r="H72" s="28" t="s">
        <v>32</v>
      </c>
      <c r="I72" s="29">
        <v>45271</v>
      </c>
      <c r="J72" s="28">
        <f t="shared" si="11"/>
        <v>12000</v>
      </c>
      <c r="K72" s="28">
        <f t="shared" si="12"/>
        <v>1800</v>
      </c>
      <c r="L72" s="28">
        <f t="shared" si="13"/>
        <v>15000</v>
      </c>
      <c r="M72" s="28">
        <f t="shared" si="14"/>
        <v>11</v>
      </c>
      <c r="N72" s="28">
        <f t="shared" si="15"/>
        <v>12</v>
      </c>
      <c r="O72" s="28">
        <f t="shared" si="16"/>
        <v>2023</v>
      </c>
      <c r="P72" s="28" t="str">
        <f t="shared" si="17"/>
        <v>High Price</v>
      </c>
      <c r="Q72" s="28" t="str">
        <f t="shared" si="18"/>
        <v>Bad</v>
      </c>
      <c r="R72" s="28" t="str">
        <f t="shared" si="19"/>
        <v>High Discount</v>
      </c>
      <c r="S72" s="28" t="str">
        <f t="shared" si="20"/>
        <v>High Priority Review</v>
      </c>
      <c r="T72" s="28" t="str">
        <f t="shared" si="21"/>
        <v>So</v>
      </c>
      <c r="U72" s="1"/>
      <c r="V72" s="1"/>
      <c r="W72" s="1"/>
      <c r="X72" s="1"/>
      <c r="Y72" s="1"/>
    </row>
    <row r="73" spans="1:25" ht="15.75" customHeight="1" x14ac:dyDescent="0.35">
      <c r="A73" s="28" t="s">
        <v>113</v>
      </c>
      <c r="B73" s="28" t="s">
        <v>54</v>
      </c>
      <c r="C73" s="28" t="s">
        <v>26</v>
      </c>
      <c r="D73" s="28" t="s">
        <v>44</v>
      </c>
      <c r="E73" s="28">
        <v>22</v>
      </c>
      <c r="F73" s="28">
        <v>1000</v>
      </c>
      <c r="G73" s="28">
        <v>20</v>
      </c>
      <c r="H73" s="28" t="s">
        <v>32</v>
      </c>
      <c r="I73" s="29">
        <v>44997</v>
      </c>
      <c r="J73" s="28">
        <f t="shared" si="11"/>
        <v>17600</v>
      </c>
      <c r="K73" s="28">
        <f t="shared" si="12"/>
        <v>2640</v>
      </c>
      <c r="L73" s="28">
        <f t="shared" si="13"/>
        <v>22000</v>
      </c>
      <c r="M73" s="28">
        <f t="shared" si="14"/>
        <v>12</v>
      </c>
      <c r="N73" s="28">
        <f t="shared" si="15"/>
        <v>3</v>
      </c>
      <c r="O73" s="28">
        <f t="shared" si="16"/>
        <v>2023</v>
      </c>
      <c r="P73" s="28" t="str">
        <f t="shared" si="17"/>
        <v>High Price</v>
      </c>
      <c r="Q73" s="28" t="str">
        <f t="shared" si="18"/>
        <v>Bad</v>
      </c>
      <c r="R73" s="28" t="str">
        <f t="shared" si="19"/>
        <v>High Discount</v>
      </c>
      <c r="S73" s="28" t="str">
        <f t="shared" si="20"/>
        <v>High Priority Review</v>
      </c>
      <c r="T73" s="28" t="str">
        <f t="shared" si="21"/>
        <v>No</v>
      </c>
      <c r="U73" s="1"/>
      <c r="V73" s="1"/>
      <c r="W73" s="1"/>
      <c r="X73" s="1"/>
      <c r="Y73" s="1"/>
    </row>
    <row r="74" spans="1:25" ht="15.75" customHeight="1" x14ac:dyDescent="0.35">
      <c r="A74" s="28" t="s">
        <v>114</v>
      </c>
      <c r="B74" s="28" t="s">
        <v>29</v>
      </c>
      <c r="C74" s="28" t="s">
        <v>26</v>
      </c>
      <c r="D74" s="28" t="s">
        <v>44</v>
      </c>
      <c r="E74" s="28">
        <v>7</v>
      </c>
      <c r="F74" s="28">
        <v>5000</v>
      </c>
      <c r="G74" s="28">
        <v>15</v>
      </c>
      <c r="H74" s="28" t="s">
        <v>24</v>
      </c>
      <c r="I74" s="29">
        <v>45028</v>
      </c>
      <c r="J74" s="28">
        <f t="shared" si="11"/>
        <v>29750</v>
      </c>
      <c r="K74" s="28">
        <f t="shared" si="12"/>
        <v>4462.5</v>
      </c>
      <c r="L74" s="28">
        <f t="shared" si="13"/>
        <v>35000</v>
      </c>
      <c r="M74" s="28">
        <f t="shared" si="14"/>
        <v>12</v>
      </c>
      <c r="N74" s="28">
        <f t="shared" si="15"/>
        <v>4</v>
      </c>
      <c r="O74" s="28">
        <f t="shared" si="16"/>
        <v>2023</v>
      </c>
      <c r="P74" s="28" t="str">
        <f t="shared" si="17"/>
        <v>High Price</v>
      </c>
      <c r="Q74" s="28" t="str">
        <f t="shared" si="18"/>
        <v>Good</v>
      </c>
      <c r="R74" s="28" t="str">
        <f t="shared" si="19"/>
        <v>High Discount</v>
      </c>
      <c r="S74" s="28" t="str">
        <f t="shared" si="20"/>
        <v>No Review Needed</v>
      </c>
      <c r="T74" s="28" t="str">
        <f t="shared" si="21"/>
        <v>No</v>
      </c>
      <c r="U74" s="1"/>
      <c r="V74" s="1"/>
      <c r="W74" s="1"/>
      <c r="X74" s="1"/>
      <c r="Y74" s="1"/>
    </row>
    <row r="75" spans="1:25" ht="15.75" customHeight="1" x14ac:dyDescent="0.35">
      <c r="A75" s="28" t="s">
        <v>115</v>
      </c>
      <c r="B75" s="28" t="s">
        <v>34</v>
      </c>
      <c r="C75" s="28" t="s">
        <v>37</v>
      </c>
      <c r="D75" s="28" t="s">
        <v>41</v>
      </c>
      <c r="E75" s="28">
        <v>2</v>
      </c>
      <c r="F75" s="28">
        <v>2000</v>
      </c>
      <c r="G75" s="28">
        <v>15</v>
      </c>
      <c r="H75" s="28" t="s">
        <v>24</v>
      </c>
      <c r="I75" s="29">
        <v>45028</v>
      </c>
      <c r="J75" s="28">
        <f t="shared" si="11"/>
        <v>3400</v>
      </c>
      <c r="K75" s="28">
        <f t="shared" si="12"/>
        <v>510</v>
      </c>
      <c r="L75" s="28">
        <f t="shared" si="13"/>
        <v>4000</v>
      </c>
      <c r="M75" s="28">
        <f t="shared" si="14"/>
        <v>12</v>
      </c>
      <c r="N75" s="28">
        <f t="shared" si="15"/>
        <v>4</v>
      </c>
      <c r="O75" s="28">
        <f t="shared" si="16"/>
        <v>2023</v>
      </c>
      <c r="P75" s="28" t="str">
        <f t="shared" si="17"/>
        <v>High Price</v>
      </c>
      <c r="Q75" s="28" t="str">
        <f t="shared" si="18"/>
        <v>Bad</v>
      </c>
      <c r="R75" s="28" t="str">
        <f t="shared" si="19"/>
        <v>High Discount</v>
      </c>
      <c r="S75" s="28" t="str">
        <f t="shared" si="20"/>
        <v>No Review Needed</v>
      </c>
      <c r="T75" s="28" t="str">
        <f t="shared" si="21"/>
        <v>Ea</v>
      </c>
      <c r="U75" s="1"/>
      <c r="V75" s="1"/>
      <c r="W75" s="1"/>
      <c r="X75" s="1"/>
      <c r="Y75" s="1"/>
    </row>
    <row r="76" spans="1:25" ht="15.75" customHeight="1" x14ac:dyDescent="0.35">
      <c r="A76" s="28" t="s">
        <v>116</v>
      </c>
      <c r="B76" s="28" t="s">
        <v>43</v>
      </c>
      <c r="C76" s="28" t="s">
        <v>30</v>
      </c>
      <c r="D76" s="28" t="s">
        <v>74</v>
      </c>
      <c r="E76" s="28">
        <v>34</v>
      </c>
      <c r="F76" s="28">
        <v>1750</v>
      </c>
      <c r="G76" s="28">
        <v>10</v>
      </c>
      <c r="H76" s="28" t="s">
        <v>32</v>
      </c>
      <c r="I76" s="29">
        <v>45058</v>
      </c>
      <c r="J76" s="28">
        <f t="shared" si="11"/>
        <v>53550</v>
      </c>
      <c r="K76" s="28">
        <f t="shared" si="12"/>
        <v>8032.5</v>
      </c>
      <c r="L76" s="28">
        <f t="shared" si="13"/>
        <v>59500</v>
      </c>
      <c r="M76" s="28">
        <f t="shared" si="14"/>
        <v>12</v>
      </c>
      <c r="N76" s="28">
        <f t="shared" si="15"/>
        <v>5</v>
      </c>
      <c r="O76" s="28">
        <f t="shared" si="16"/>
        <v>2023</v>
      </c>
      <c r="P76" s="28" t="str">
        <f t="shared" si="17"/>
        <v>High Price</v>
      </c>
      <c r="Q76" s="28" t="str">
        <f t="shared" si="18"/>
        <v>Good</v>
      </c>
      <c r="R76" s="28" t="str">
        <f t="shared" si="19"/>
        <v>Low Discont</v>
      </c>
      <c r="S76" s="28" t="str">
        <f t="shared" si="20"/>
        <v>Low Priority Review</v>
      </c>
      <c r="T76" s="28" t="str">
        <f t="shared" si="21"/>
        <v>We</v>
      </c>
      <c r="U76" s="1"/>
      <c r="V76" s="1"/>
      <c r="W76" s="1"/>
      <c r="X76" s="1"/>
      <c r="Y76" s="1"/>
    </row>
    <row r="77" spans="1:25" ht="15.75" customHeight="1" x14ac:dyDescent="0.35">
      <c r="A77" s="28" t="s">
        <v>117</v>
      </c>
      <c r="B77" s="28" t="s">
        <v>36</v>
      </c>
      <c r="C77" s="28" t="s">
        <v>22</v>
      </c>
      <c r="D77" s="28" t="s">
        <v>23</v>
      </c>
      <c r="E77" s="28">
        <v>5</v>
      </c>
      <c r="F77" s="28">
        <v>750</v>
      </c>
      <c r="G77" s="28"/>
      <c r="H77" s="28" t="s">
        <v>32</v>
      </c>
      <c r="I77" s="29">
        <v>45058</v>
      </c>
      <c r="J77" s="28">
        <f t="shared" si="11"/>
        <v>3750</v>
      </c>
      <c r="K77" s="28">
        <f t="shared" si="12"/>
        <v>562.5</v>
      </c>
      <c r="L77" s="28">
        <f t="shared" si="13"/>
        <v>3750</v>
      </c>
      <c r="M77" s="28">
        <f t="shared" si="14"/>
        <v>12</v>
      </c>
      <c r="N77" s="28">
        <f t="shared" si="15"/>
        <v>5</v>
      </c>
      <c r="O77" s="28">
        <f t="shared" si="16"/>
        <v>2023</v>
      </c>
      <c r="P77" s="28" t="str">
        <f t="shared" si="17"/>
        <v>High Price</v>
      </c>
      <c r="Q77" s="28" t="str">
        <f t="shared" si="18"/>
        <v>Bad</v>
      </c>
      <c r="R77" s="28" t="str">
        <f t="shared" si="19"/>
        <v>No Discount</v>
      </c>
      <c r="S77" s="28" t="str">
        <f t="shared" si="20"/>
        <v>Low Priority Review</v>
      </c>
      <c r="T77" s="28" t="str">
        <f t="shared" si="21"/>
        <v>So</v>
      </c>
      <c r="U77" s="1"/>
      <c r="V77" s="1"/>
      <c r="W77" s="1"/>
      <c r="X77" s="1"/>
      <c r="Y77" s="1"/>
    </row>
    <row r="78" spans="1:25" ht="15.75" customHeight="1" x14ac:dyDescent="0.35">
      <c r="A78" s="28" t="s">
        <v>118</v>
      </c>
      <c r="B78" s="28" t="s">
        <v>21</v>
      </c>
      <c r="C78" s="28" t="s">
        <v>30</v>
      </c>
      <c r="D78" s="28" t="s">
        <v>74</v>
      </c>
      <c r="E78" s="28">
        <v>44</v>
      </c>
      <c r="F78" s="28">
        <v>500</v>
      </c>
      <c r="G78" s="28">
        <v>20</v>
      </c>
      <c r="H78" s="28" t="s">
        <v>24</v>
      </c>
      <c r="I78" s="29">
        <v>45089</v>
      </c>
      <c r="J78" s="28">
        <f t="shared" si="11"/>
        <v>17600</v>
      </c>
      <c r="K78" s="28">
        <f t="shared" si="12"/>
        <v>2640</v>
      </c>
      <c r="L78" s="28">
        <f t="shared" si="13"/>
        <v>22000</v>
      </c>
      <c r="M78" s="28">
        <f t="shared" si="14"/>
        <v>12</v>
      </c>
      <c r="N78" s="28">
        <f t="shared" si="15"/>
        <v>6</v>
      </c>
      <c r="O78" s="28">
        <f t="shared" si="16"/>
        <v>2023</v>
      </c>
      <c r="P78" s="28" t="str">
        <f t="shared" si="17"/>
        <v>High Price</v>
      </c>
      <c r="Q78" s="28" t="str">
        <f t="shared" si="18"/>
        <v>Bad</v>
      </c>
      <c r="R78" s="28" t="str">
        <f t="shared" si="19"/>
        <v>High Discount</v>
      </c>
      <c r="S78" s="28" t="str">
        <f t="shared" si="20"/>
        <v>No Review Needed</v>
      </c>
      <c r="T78" s="28" t="str">
        <f t="shared" si="21"/>
        <v>We</v>
      </c>
      <c r="U78" s="1"/>
      <c r="V78" s="1"/>
      <c r="W78" s="1"/>
      <c r="X78" s="1"/>
      <c r="Y78" s="1"/>
    </row>
    <row r="79" spans="1:25" ht="15.75" customHeight="1" x14ac:dyDescent="0.35">
      <c r="A79" s="28" t="s">
        <v>119</v>
      </c>
      <c r="B79" s="28" t="s">
        <v>43</v>
      </c>
      <c r="C79" s="28" t="s">
        <v>22</v>
      </c>
      <c r="D79" s="28" t="s">
        <v>23</v>
      </c>
      <c r="E79" s="28">
        <v>15</v>
      </c>
      <c r="F79" s="28">
        <v>1750</v>
      </c>
      <c r="G79" s="28">
        <v>0</v>
      </c>
      <c r="H79" s="28" t="s">
        <v>24</v>
      </c>
      <c r="I79" s="29">
        <v>45211</v>
      </c>
      <c r="J79" s="28">
        <f t="shared" si="11"/>
        <v>26250</v>
      </c>
      <c r="K79" s="28">
        <f t="shared" si="12"/>
        <v>3937.5</v>
      </c>
      <c r="L79" s="28">
        <f t="shared" si="13"/>
        <v>26250</v>
      </c>
      <c r="M79" s="28">
        <f t="shared" si="14"/>
        <v>12</v>
      </c>
      <c r="N79" s="28">
        <f t="shared" si="15"/>
        <v>10</v>
      </c>
      <c r="O79" s="28">
        <f t="shared" si="16"/>
        <v>2023</v>
      </c>
      <c r="P79" s="28" t="str">
        <f t="shared" si="17"/>
        <v>High Price</v>
      </c>
      <c r="Q79" s="28" t="str">
        <f t="shared" si="18"/>
        <v>Good</v>
      </c>
      <c r="R79" s="28" t="str">
        <f t="shared" si="19"/>
        <v>No Discount</v>
      </c>
      <c r="S79" s="28" t="str">
        <f t="shared" si="20"/>
        <v>No Review Needed</v>
      </c>
      <c r="T79" s="28" t="str">
        <f t="shared" si="21"/>
        <v>So</v>
      </c>
      <c r="U79" s="1"/>
      <c r="V79" s="1"/>
      <c r="W79" s="1"/>
      <c r="X79" s="1"/>
      <c r="Y79" s="1"/>
    </row>
    <row r="80" spans="1:25" ht="15.75" customHeight="1" x14ac:dyDescent="0.35">
      <c r="A80" s="28" t="s">
        <v>120</v>
      </c>
      <c r="B80" s="28" t="s">
        <v>54</v>
      </c>
      <c r="C80" s="28" t="s">
        <v>30</v>
      </c>
      <c r="D80" s="28" t="s">
        <v>31</v>
      </c>
      <c r="E80" s="28">
        <v>27</v>
      </c>
      <c r="F80" s="28">
        <v>1000</v>
      </c>
      <c r="G80" s="28">
        <v>15</v>
      </c>
      <c r="H80" s="28" t="s">
        <v>32</v>
      </c>
      <c r="I80" s="29">
        <v>45242</v>
      </c>
      <c r="J80" s="28">
        <f t="shared" si="11"/>
        <v>22950</v>
      </c>
      <c r="K80" s="28">
        <f t="shared" si="12"/>
        <v>3442.5</v>
      </c>
      <c r="L80" s="28">
        <f t="shared" si="13"/>
        <v>27000</v>
      </c>
      <c r="M80" s="28">
        <f t="shared" si="14"/>
        <v>12</v>
      </c>
      <c r="N80" s="28">
        <f t="shared" si="15"/>
        <v>11</v>
      </c>
      <c r="O80" s="28">
        <f t="shared" si="16"/>
        <v>2023</v>
      </c>
      <c r="P80" s="28" t="str">
        <f t="shared" si="17"/>
        <v>High Price</v>
      </c>
      <c r="Q80" s="28" t="str">
        <f t="shared" si="18"/>
        <v>Good</v>
      </c>
      <c r="R80" s="28" t="str">
        <f t="shared" si="19"/>
        <v>High Discount</v>
      </c>
      <c r="S80" s="28" t="str">
        <f t="shared" si="20"/>
        <v>High Priority Review</v>
      </c>
      <c r="T80" s="28" t="str">
        <f t="shared" si="21"/>
        <v>We</v>
      </c>
      <c r="U80" s="1"/>
      <c r="V80" s="1"/>
      <c r="W80" s="1"/>
      <c r="X80" s="1"/>
      <c r="Y80" s="1"/>
    </row>
    <row r="81" spans="1:25" ht="15.75" customHeight="1" x14ac:dyDescent="0.35">
      <c r="A81" s="28" t="s">
        <v>121</v>
      </c>
      <c r="B81" s="28" t="s">
        <v>34</v>
      </c>
      <c r="C81" s="28" t="s">
        <v>26</v>
      </c>
      <c r="D81" s="28" t="s">
        <v>44</v>
      </c>
      <c r="E81" s="28">
        <v>3</v>
      </c>
      <c r="F81" s="28">
        <v>2000</v>
      </c>
      <c r="G81" s="28">
        <v>20</v>
      </c>
      <c r="H81" s="28" t="s">
        <v>32</v>
      </c>
      <c r="I81" s="29">
        <v>44970</v>
      </c>
      <c r="J81" s="28">
        <f t="shared" si="11"/>
        <v>4800</v>
      </c>
      <c r="K81" s="28">
        <f t="shared" si="12"/>
        <v>720</v>
      </c>
      <c r="L81" s="28">
        <f t="shared" si="13"/>
        <v>6000</v>
      </c>
      <c r="M81" s="28">
        <f t="shared" si="14"/>
        <v>13</v>
      </c>
      <c r="N81" s="28">
        <f t="shared" si="15"/>
        <v>2</v>
      </c>
      <c r="O81" s="28">
        <f t="shared" si="16"/>
        <v>2023</v>
      </c>
      <c r="P81" s="28" t="str">
        <f t="shared" si="17"/>
        <v>High Price</v>
      </c>
      <c r="Q81" s="28" t="str">
        <f t="shared" si="18"/>
        <v>Bad</v>
      </c>
      <c r="R81" s="28" t="str">
        <f t="shared" si="19"/>
        <v>High Discount</v>
      </c>
      <c r="S81" s="28" t="str">
        <f t="shared" si="20"/>
        <v>High Priority Review</v>
      </c>
      <c r="T81" s="28" t="str">
        <f t="shared" si="21"/>
        <v>No</v>
      </c>
      <c r="U81" s="1"/>
      <c r="V81" s="1"/>
      <c r="W81" s="1"/>
      <c r="X81" s="1"/>
      <c r="Y81" s="1"/>
    </row>
    <row r="82" spans="1:25" ht="15.75" customHeight="1" x14ac:dyDescent="0.35">
      <c r="A82" s="28" t="s">
        <v>122</v>
      </c>
      <c r="B82" s="28" t="s">
        <v>21</v>
      </c>
      <c r="C82" s="28" t="s">
        <v>26</v>
      </c>
      <c r="D82" s="28" t="s">
        <v>27</v>
      </c>
      <c r="E82" s="28">
        <v>48</v>
      </c>
      <c r="F82" s="28">
        <v>500</v>
      </c>
      <c r="G82" s="28">
        <v>15</v>
      </c>
      <c r="H82" s="28" t="s">
        <v>24</v>
      </c>
      <c r="I82" s="29">
        <v>45059</v>
      </c>
      <c r="J82" s="28">
        <f t="shared" si="11"/>
        <v>20400</v>
      </c>
      <c r="K82" s="28">
        <f t="shared" si="12"/>
        <v>3060</v>
      </c>
      <c r="L82" s="28">
        <f t="shared" si="13"/>
        <v>24000</v>
      </c>
      <c r="M82" s="28">
        <f t="shared" si="14"/>
        <v>13</v>
      </c>
      <c r="N82" s="28">
        <f t="shared" si="15"/>
        <v>5</v>
      </c>
      <c r="O82" s="28">
        <f t="shared" si="16"/>
        <v>2023</v>
      </c>
      <c r="P82" s="28" t="str">
        <f t="shared" si="17"/>
        <v>High Price</v>
      </c>
      <c r="Q82" s="28" t="str">
        <f t="shared" si="18"/>
        <v>Good</v>
      </c>
      <c r="R82" s="28" t="str">
        <f t="shared" si="19"/>
        <v>High Discount</v>
      </c>
      <c r="S82" s="28" t="str">
        <f t="shared" si="20"/>
        <v>No Review Needed</v>
      </c>
      <c r="T82" s="28" t="str">
        <f t="shared" si="21"/>
        <v>No</v>
      </c>
      <c r="U82" s="1"/>
      <c r="V82" s="1"/>
      <c r="W82" s="1"/>
      <c r="X82" s="1"/>
      <c r="Y82" s="1"/>
    </row>
    <row r="83" spans="1:25" ht="15.75" customHeight="1" x14ac:dyDescent="0.35">
      <c r="A83" s="28" t="s">
        <v>123</v>
      </c>
      <c r="B83" s="28" t="s">
        <v>57</v>
      </c>
      <c r="C83" s="28" t="s">
        <v>30</v>
      </c>
      <c r="D83" s="28" t="s">
        <v>74</v>
      </c>
      <c r="E83" s="28">
        <v>13</v>
      </c>
      <c r="F83" s="28">
        <v>3000</v>
      </c>
      <c r="G83" s="28">
        <v>5</v>
      </c>
      <c r="H83" s="28" t="s">
        <v>24</v>
      </c>
      <c r="I83" s="29">
        <v>45059</v>
      </c>
      <c r="J83" s="28">
        <f t="shared" si="11"/>
        <v>37050</v>
      </c>
      <c r="K83" s="28">
        <f t="shared" si="12"/>
        <v>5557.5</v>
      </c>
      <c r="L83" s="28">
        <f t="shared" si="13"/>
        <v>39000</v>
      </c>
      <c r="M83" s="28">
        <f t="shared" si="14"/>
        <v>13</v>
      </c>
      <c r="N83" s="28">
        <f t="shared" si="15"/>
        <v>5</v>
      </c>
      <c r="O83" s="28">
        <f t="shared" si="16"/>
        <v>2023</v>
      </c>
      <c r="P83" s="28" t="str">
        <f t="shared" si="17"/>
        <v>High Price</v>
      </c>
      <c r="Q83" s="28" t="str">
        <f t="shared" si="18"/>
        <v>Good</v>
      </c>
      <c r="R83" s="28" t="str">
        <f t="shared" si="19"/>
        <v>Low Discont</v>
      </c>
      <c r="S83" s="28" t="str">
        <f t="shared" si="20"/>
        <v>No Review Needed</v>
      </c>
      <c r="T83" s="28" t="str">
        <f t="shared" si="21"/>
        <v>We</v>
      </c>
      <c r="U83" s="1"/>
      <c r="V83" s="1"/>
      <c r="W83" s="1"/>
      <c r="X83" s="1"/>
      <c r="Y83" s="1"/>
    </row>
    <row r="84" spans="1:25" ht="15.75" customHeight="1" x14ac:dyDescent="0.35">
      <c r="A84" s="28" t="s">
        <v>124</v>
      </c>
      <c r="B84" s="28" t="s">
        <v>34</v>
      </c>
      <c r="C84" s="28" t="s">
        <v>37</v>
      </c>
      <c r="D84" s="28" t="s">
        <v>41</v>
      </c>
      <c r="E84" s="28">
        <v>1</v>
      </c>
      <c r="F84" s="28">
        <v>2000</v>
      </c>
      <c r="G84" s="28">
        <v>5</v>
      </c>
      <c r="H84" s="28" t="s">
        <v>32</v>
      </c>
      <c r="I84" s="29">
        <v>45090</v>
      </c>
      <c r="J84" s="28">
        <f t="shared" si="11"/>
        <v>1900</v>
      </c>
      <c r="K84" s="28">
        <f t="shared" si="12"/>
        <v>285</v>
      </c>
      <c r="L84" s="28">
        <f t="shared" si="13"/>
        <v>2000</v>
      </c>
      <c r="M84" s="28">
        <f t="shared" si="14"/>
        <v>13</v>
      </c>
      <c r="N84" s="28">
        <f t="shared" si="15"/>
        <v>6</v>
      </c>
      <c r="O84" s="28">
        <f t="shared" si="16"/>
        <v>2023</v>
      </c>
      <c r="P84" s="28" t="str">
        <f t="shared" si="17"/>
        <v>High Price</v>
      </c>
      <c r="Q84" s="28" t="str">
        <f t="shared" si="18"/>
        <v>Bad</v>
      </c>
      <c r="R84" s="28" t="str">
        <f t="shared" si="19"/>
        <v>Low Discont</v>
      </c>
      <c r="S84" s="28" t="str">
        <f t="shared" si="20"/>
        <v>Low Priority Review</v>
      </c>
      <c r="T84" s="28" t="str">
        <f t="shared" si="21"/>
        <v>Ea</v>
      </c>
      <c r="U84" s="1"/>
      <c r="V84" s="1"/>
      <c r="W84" s="1"/>
      <c r="X84" s="1"/>
      <c r="Y84" s="1"/>
    </row>
    <row r="85" spans="1:25" ht="15.75" customHeight="1" x14ac:dyDescent="0.35">
      <c r="A85" s="28" t="s">
        <v>125</v>
      </c>
      <c r="B85" s="28" t="s">
        <v>34</v>
      </c>
      <c r="C85" s="28" t="s">
        <v>30</v>
      </c>
      <c r="D85" s="28" t="s">
        <v>74</v>
      </c>
      <c r="E85" s="28">
        <v>1</v>
      </c>
      <c r="F85" s="28">
        <v>2000</v>
      </c>
      <c r="G85" s="28">
        <v>5</v>
      </c>
      <c r="H85" s="28" t="s">
        <v>32</v>
      </c>
      <c r="I85" s="29">
        <v>44940</v>
      </c>
      <c r="J85" s="28">
        <f t="shared" si="11"/>
        <v>1900</v>
      </c>
      <c r="K85" s="28">
        <f t="shared" si="12"/>
        <v>285</v>
      </c>
      <c r="L85" s="28">
        <f t="shared" si="13"/>
        <v>2000</v>
      </c>
      <c r="M85" s="28">
        <f t="shared" si="14"/>
        <v>14</v>
      </c>
      <c r="N85" s="28">
        <f t="shared" si="15"/>
        <v>1</v>
      </c>
      <c r="O85" s="28">
        <f t="shared" si="16"/>
        <v>2023</v>
      </c>
      <c r="P85" s="28" t="str">
        <f t="shared" si="17"/>
        <v>High Price</v>
      </c>
      <c r="Q85" s="28" t="str">
        <f t="shared" si="18"/>
        <v>Bad</v>
      </c>
      <c r="R85" s="28" t="str">
        <f t="shared" si="19"/>
        <v>Low Discont</v>
      </c>
      <c r="S85" s="28" t="str">
        <f t="shared" si="20"/>
        <v>Low Priority Review</v>
      </c>
      <c r="T85" s="28" t="str">
        <f t="shared" si="21"/>
        <v>We</v>
      </c>
      <c r="U85" s="1"/>
      <c r="V85" s="1"/>
      <c r="W85" s="1"/>
      <c r="X85" s="1"/>
      <c r="Y85" s="1"/>
    </row>
    <row r="86" spans="1:25" ht="15.75" customHeight="1" x14ac:dyDescent="0.35">
      <c r="A86" s="28" t="s">
        <v>126</v>
      </c>
      <c r="B86" s="28" t="s">
        <v>57</v>
      </c>
      <c r="C86" s="28" t="s">
        <v>26</v>
      </c>
      <c r="D86" s="28" t="s">
        <v>27</v>
      </c>
      <c r="E86" s="28">
        <v>5</v>
      </c>
      <c r="F86" s="28">
        <v>3000</v>
      </c>
      <c r="G86" s="28">
        <v>15</v>
      </c>
      <c r="H86" s="28" t="s">
        <v>32</v>
      </c>
      <c r="I86" s="29">
        <v>44999</v>
      </c>
      <c r="J86" s="28">
        <f t="shared" si="11"/>
        <v>12750</v>
      </c>
      <c r="K86" s="28">
        <f t="shared" si="12"/>
        <v>1912.5</v>
      </c>
      <c r="L86" s="28">
        <f t="shared" si="13"/>
        <v>15000</v>
      </c>
      <c r="M86" s="28">
        <f t="shared" si="14"/>
        <v>14</v>
      </c>
      <c r="N86" s="28">
        <f t="shared" si="15"/>
        <v>3</v>
      </c>
      <c r="O86" s="28">
        <f t="shared" si="16"/>
        <v>2023</v>
      </c>
      <c r="P86" s="28" t="str">
        <f t="shared" si="17"/>
        <v>High Price</v>
      </c>
      <c r="Q86" s="28" t="str">
        <f t="shared" si="18"/>
        <v>Bad</v>
      </c>
      <c r="R86" s="28" t="str">
        <f t="shared" si="19"/>
        <v>High Discount</v>
      </c>
      <c r="S86" s="28" t="str">
        <f t="shared" si="20"/>
        <v>High Priority Review</v>
      </c>
      <c r="T86" s="28" t="str">
        <f t="shared" si="21"/>
        <v>No</v>
      </c>
      <c r="U86" s="1"/>
      <c r="V86" s="1"/>
      <c r="W86" s="1"/>
      <c r="X86" s="1"/>
      <c r="Y86" s="1"/>
    </row>
    <row r="87" spans="1:25" ht="15.75" customHeight="1" x14ac:dyDescent="0.35">
      <c r="A87" s="28" t="s">
        <v>127</v>
      </c>
      <c r="B87" s="28" t="s">
        <v>21</v>
      </c>
      <c r="C87" s="28" t="s">
        <v>22</v>
      </c>
      <c r="D87" s="28" t="s">
        <v>77</v>
      </c>
      <c r="E87" s="28">
        <v>31</v>
      </c>
      <c r="F87" s="28">
        <v>500</v>
      </c>
      <c r="G87" s="28">
        <v>15</v>
      </c>
      <c r="H87" s="28" t="s">
        <v>24</v>
      </c>
      <c r="I87" s="29">
        <v>45091</v>
      </c>
      <c r="J87" s="28">
        <f t="shared" si="11"/>
        <v>13175</v>
      </c>
      <c r="K87" s="28">
        <f t="shared" si="12"/>
        <v>1976.25</v>
      </c>
      <c r="L87" s="28">
        <f t="shared" si="13"/>
        <v>15500</v>
      </c>
      <c r="M87" s="28">
        <f t="shared" si="14"/>
        <v>14</v>
      </c>
      <c r="N87" s="28">
        <f t="shared" si="15"/>
        <v>6</v>
      </c>
      <c r="O87" s="28">
        <f t="shared" si="16"/>
        <v>2023</v>
      </c>
      <c r="P87" s="28" t="str">
        <f t="shared" si="17"/>
        <v>High Price</v>
      </c>
      <c r="Q87" s="28" t="str">
        <f t="shared" si="18"/>
        <v>Bad</v>
      </c>
      <c r="R87" s="28" t="str">
        <f t="shared" si="19"/>
        <v>High Discount</v>
      </c>
      <c r="S87" s="28" t="str">
        <f t="shared" si="20"/>
        <v>No Review Needed</v>
      </c>
      <c r="T87" s="28" t="str">
        <f t="shared" si="21"/>
        <v>So</v>
      </c>
      <c r="U87" s="1"/>
      <c r="V87" s="1"/>
      <c r="W87" s="1"/>
      <c r="X87" s="1"/>
      <c r="Y87" s="1"/>
    </row>
    <row r="88" spans="1:25" ht="15.75" customHeight="1" x14ac:dyDescent="0.35">
      <c r="A88" s="28" t="s">
        <v>128</v>
      </c>
      <c r="B88" s="28" t="s">
        <v>54</v>
      </c>
      <c r="C88" s="28" t="s">
        <v>30</v>
      </c>
      <c r="D88" s="28" t="s">
        <v>74</v>
      </c>
      <c r="E88" s="28">
        <v>14</v>
      </c>
      <c r="F88" s="28">
        <v>1000</v>
      </c>
      <c r="G88" s="28">
        <v>10</v>
      </c>
      <c r="H88" s="28" t="s">
        <v>24</v>
      </c>
      <c r="I88" s="29">
        <v>45121</v>
      </c>
      <c r="J88" s="28">
        <f t="shared" si="11"/>
        <v>12600</v>
      </c>
      <c r="K88" s="28">
        <f t="shared" si="12"/>
        <v>1890</v>
      </c>
      <c r="L88" s="28">
        <f t="shared" si="13"/>
        <v>14000</v>
      </c>
      <c r="M88" s="28">
        <f t="shared" si="14"/>
        <v>14</v>
      </c>
      <c r="N88" s="28">
        <f t="shared" si="15"/>
        <v>7</v>
      </c>
      <c r="O88" s="28">
        <f t="shared" si="16"/>
        <v>2023</v>
      </c>
      <c r="P88" s="28" t="str">
        <f t="shared" si="17"/>
        <v>High Price</v>
      </c>
      <c r="Q88" s="28" t="str">
        <f t="shared" si="18"/>
        <v>Bad</v>
      </c>
      <c r="R88" s="28" t="str">
        <f t="shared" si="19"/>
        <v>Low Discont</v>
      </c>
      <c r="S88" s="28" t="str">
        <f t="shared" si="20"/>
        <v>No Review Needed</v>
      </c>
      <c r="T88" s="28" t="str">
        <f t="shared" si="21"/>
        <v>We</v>
      </c>
      <c r="U88" s="1"/>
      <c r="V88" s="1"/>
      <c r="W88" s="1"/>
      <c r="X88" s="1"/>
      <c r="Y88" s="1"/>
    </row>
    <row r="89" spans="1:25" ht="15.75" customHeight="1" x14ac:dyDescent="0.35">
      <c r="A89" s="28" t="s">
        <v>129</v>
      </c>
      <c r="B89" s="28" t="s">
        <v>43</v>
      </c>
      <c r="C89" s="28" t="s">
        <v>26</v>
      </c>
      <c r="D89" s="28" t="s">
        <v>27</v>
      </c>
      <c r="E89" s="28">
        <v>41</v>
      </c>
      <c r="F89" s="28">
        <v>1750</v>
      </c>
      <c r="G89" s="28">
        <v>0</v>
      </c>
      <c r="H89" s="28" t="s">
        <v>24</v>
      </c>
      <c r="I89" s="29">
        <v>45152</v>
      </c>
      <c r="J89" s="28">
        <f t="shared" si="11"/>
        <v>71750</v>
      </c>
      <c r="K89" s="28">
        <f t="shared" si="12"/>
        <v>10762.5</v>
      </c>
      <c r="L89" s="28">
        <f t="shared" si="13"/>
        <v>71750</v>
      </c>
      <c r="M89" s="28">
        <f t="shared" si="14"/>
        <v>14</v>
      </c>
      <c r="N89" s="28">
        <f t="shared" si="15"/>
        <v>8</v>
      </c>
      <c r="O89" s="28">
        <f t="shared" si="16"/>
        <v>2023</v>
      </c>
      <c r="P89" s="28" t="str">
        <f t="shared" si="17"/>
        <v>High Price</v>
      </c>
      <c r="Q89" s="28" t="str">
        <f t="shared" si="18"/>
        <v>Good</v>
      </c>
      <c r="R89" s="28" t="str">
        <f t="shared" si="19"/>
        <v>No Discount</v>
      </c>
      <c r="S89" s="28" t="str">
        <f t="shared" si="20"/>
        <v>No Review Needed</v>
      </c>
      <c r="T89" s="28" t="str">
        <f t="shared" si="21"/>
        <v>No</v>
      </c>
      <c r="U89" s="1"/>
      <c r="V89" s="1"/>
      <c r="W89" s="1"/>
      <c r="X89" s="1"/>
      <c r="Y89" s="1"/>
    </row>
    <row r="90" spans="1:25" ht="15.75" customHeight="1" x14ac:dyDescent="0.35">
      <c r="A90" s="28" t="s">
        <v>130</v>
      </c>
      <c r="B90" s="28" t="s">
        <v>57</v>
      </c>
      <c r="C90" s="28" t="s">
        <v>37</v>
      </c>
      <c r="D90" s="28" t="s">
        <v>41</v>
      </c>
      <c r="E90" s="28">
        <v>15</v>
      </c>
      <c r="F90" s="28">
        <v>3000</v>
      </c>
      <c r="G90" s="28">
        <v>15</v>
      </c>
      <c r="H90" s="28" t="s">
        <v>32</v>
      </c>
      <c r="I90" s="29">
        <v>45183</v>
      </c>
      <c r="J90" s="28">
        <f t="shared" si="11"/>
        <v>38250</v>
      </c>
      <c r="K90" s="28">
        <f t="shared" si="12"/>
        <v>5737.5</v>
      </c>
      <c r="L90" s="28">
        <f t="shared" si="13"/>
        <v>45000</v>
      </c>
      <c r="M90" s="28">
        <f t="shared" si="14"/>
        <v>14</v>
      </c>
      <c r="N90" s="28">
        <f t="shared" si="15"/>
        <v>9</v>
      </c>
      <c r="O90" s="28">
        <f t="shared" si="16"/>
        <v>2023</v>
      </c>
      <c r="P90" s="28" t="str">
        <f t="shared" si="17"/>
        <v>High Price</v>
      </c>
      <c r="Q90" s="28" t="str">
        <f t="shared" si="18"/>
        <v>Good</v>
      </c>
      <c r="R90" s="28" t="str">
        <f t="shared" si="19"/>
        <v>High Discount</v>
      </c>
      <c r="S90" s="28" t="str">
        <f t="shared" si="20"/>
        <v>High Priority Review</v>
      </c>
      <c r="T90" s="28" t="str">
        <f t="shared" si="21"/>
        <v>Ea</v>
      </c>
      <c r="U90" s="1"/>
      <c r="V90" s="1"/>
      <c r="W90" s="1"/>
      <c r="X90" s="1"/>
      <c r="Y90" s="1"/>
    </row>
    <row r="91" spans="1:25" ht="15.75" customHeight="1" x14ac:dyDescent="0.35">
      <c r="A91" s="28" t="s">
        <v>131</v>
      </c>
      <c r="B91" s="28" t="s">
        <v>21</v>
      </c>
      <c r="C91" s="28" t="s">
        <v>26</v>
      </c>
      <c r="D91" s="28" t="s">
        <v>27</v>
      </c>
      <c r="E91" s="28">
        <v>12</v>
      </c>
      <c r="F91" s="28">
        <v>500</v>
      </c>
      <c r="G91" s="28">
        <v>20</v>
      </c>
      <c r="H91" s="28" t="s">
        <v>24</v>
      </c>
      <c r="I91" s="29">
        <v>45244</v>
      </c>
      <c r="J91" s="28">
        <f t="shared" si="11"/>
        <v>4800</v>
      </c>
      <c r="K91" s="28">
        <f t="shared" si="12"/>
        <v>720</v>
      </c>
      <c r="L91" s="28">
        <f t="shared" si="13"/>
        <v>6000</v>
      </c>
      <c r="M91" s="28">
        <f t="shared" si="14"/>
        <v>14</v>
      </c>
      <c r="N91" s="28">
        <f t="shared" si="15"/>
        <v>11</v>
      </c>
      <c r="O91" s="28">
        <f t="shared" si="16"/>
        <v>2023</v>
      </c>
      <c r="P91" s="28" t="str">
        <f t="shared" si="17"/>
        <v>High Price</v>
      </c>
      <c r="Q91" s="28" t="str">
        <f t="shared" si="18"/>
        <v>Bad</v>
      </c>
      <c r="R91" s="28" t="str">
        <f t="shared" si="19"/>
        <v>High Discount</v>
      </c>
      <c r="S91" s="28" t="str">
        <f t="shared" si="20"/>
        <v>No Review Needed</v>
      </c>
      <c r="T91" s="28" t="str">
        <f t="shared" si="21"/>
        <v>No</v>
      </c>
      <c r="U91" s="1"/>
      <c r="V91" s="1"/>
      <c r="W91" s="1"/>
      <c r="X91" s="1"/>
      <c r="Y91" s="1"/>
    </row>
    <row r="92" spans="1:25" ht="15.75" customHeight="1" x14ac:dyDescent="0.35">
      <c r="A92" s="28" t="s">
        <v>132</v>
      </c>
      <c r="B92" s="28" t="s">
        <v>36</v>
      </c>
      <c r="C92" s="28" t="s">
        <v>30</v>
      </c>
      <c r="D92" s="28" t="s">
        <v>74</v>
      </c>
      <c r="E92" s="28">
        <v>11</v>
      </c>
      <c r="F92" s="28">
        <v>750</v>
      </c>
      <c r="G92" s="28">
        <v>15</v>
      </c>
      <c r="H92" s="28" t="s">
        <v>24</v>
      </c>
      <c r="I92" s="29">
        <v>45274</v>
      </c>
      <c r="J92" s="28">
        <f t="shared" si="11"/>
        <v>7012.5</v>
      </c>
      <c r="K92" s="28">
        <f t="shared" si="12"/>
        <v>1051.8800000000001</v>
      </c>
      <c r="L92" s="28">
        <f t="shared" si="13"/>
        <v>8250</v>
      </c>
      <c r="M92" s="28">
        <f t="shared" si="14"/>
        <v>14</v>
      </c>
      <c r="N92" s="28">
        <f t="shared" si="15"/>
        <v>12</v>
      </c>
      <c r="O92" s="28">
        <f t="shared" si="16"/>
        <v>2023</v>
      </c>
      <c r="P92" s="28" t="str">
        <f t="shared" si="17"/>
        <v>High Price</v>
      </c>
      <c r="Q92" s="28" t="str">
        <f t="shared" si="18"/>
        <v>Bad</v>
      </c>
      <c r="R92" s="28" t="str">
        <f t="shared" si="19"/>
        <v>High Discount</v>
      </c>
      <c r="S92" s="28" t="str">
        <f t="shared" si="20"/>
        <v>No Review Needed</v>
      </c>
      <c r="T92" s="28" t="str">
        <f t="shared" si="21"/>
        <v>We</v>
      </c>
      <c r="U92" s="1"/>
      <c r="V92" s="1"/>
      <c r="W92" s="1"/>
      <c r="X92" s="1"/>
      <c r="Y92" s="1"/>
    </row>
    <row r="93" spans="1:25" ht="15.75" customHeight="1" x14ac:dyDescent="0.35">
      <c r="A93" s="28" t="s">
        <v>133</v>
      </c>
      <c r="B93" s="28" t="s">
        <v>29</v>
      </c>
      <c r="C93" s="28" t="s">
        <v>37</v>
      </c>
      <c r="D93" s="28"/>
      <c r="E93" s="28">
        <v>7</v>
      </c>
      <c r="F93" s="28">
        <v>5000</v>
      </c>
      <c r="G93" s="28">
        <v>20</v>
      </c>
      <c r="H93" s="28" t="s">
        <v>32</v>
      </c>
      <c r="I93" s="29">
        <v>45000</v>
      </c>
      <c r="J93" s="28">
        <f t="shared" si="11"/>
        <v>28000</v>
      </c>
      <c r="K93" s="28">
        <f t="shared" si="12"/>
        <v>4200</v>
      </c>
      <c r="L93" s="28">
        <f t="shared" si="13"/>
        <v>35000</v>
      </c>
      <c r="M93" s="28">
        <f t="shared" si="14"/>
        <v>15</v>
      </c>
      <c r="N93" s="28">
        <f t="shared" si="15"/>
        <v>3</v>
      </c>
      <c r="O93" s="28">
        <f t="shared" si="16"/>
        <v>2023</v>
      </c>
      <c r="P93" s="28" t="str">
        <f t="shared" si="17"/>
        <v>High Price</v>
      </c>
      <c r="Q93" s="28" t="str">
        <f t="shared" si="18"/>
        <v>Good</v>
      </c>
      <c r="R93" s="28" t="str">
        <f t="shared" si="19"/>
        <v>High Discount</v>
      </c>
      <c r="S93" s="28" t="str">
        <f t="shared" si="20"/>
        <v>High Priority Review</v>
      </c>
      <c r="T93" s="28" t="str">
        <f t="shared" si="21"/>
        <v>Ea</v>
      </c>
      <c r="U93" s="1"/>
      <c r="V93" s="1"/>
      <c r="W93" s="1"/>
      <c r="X93" s="1"/>
      <c r="Y93" s="1"/>
    </row>
    <row r="94" spans="1:25" ht="15.75" customHeight="1" x14ac:dyDescent="0.35">
      <c r="A94" s="28" t="s">
        <v>134</v>
      </c>
      <c r="B94" s="28" t="s">
        <v>54</v>
      </c>
      <c r="C94" s="28" t="s">
        <v>30</v>
      </c>
      <c r="D94" s="28" t="s">
        <v>31</v>
      </c>
      <c r="E94" s="28">
        <v>26</v>
      </c>
      <c r="F94" s="28">
        <v>1000</v>
      </c>
      <c r="G94" s="28">
        <v>0</v>
      </c>
      <c r="H94" s="28" t="s">
        <v>32</v>
      </c>
      <c r="I94" s="29">
        <v>45031</v>
      </c>
      <c r="J94" s="28">
        <f t="shared" si="11"/>
        <v>26000</v>
      </c>
      <c r="K94" s="28">
        <f t="shared" si="12"/>
        <v>3900</v>
      </c>
      <c r="L94" s="28">
        <f t="shared" si="13"/>
        <v>26000</v>
      </c>
      <c r="M94" s="28">
        <f t="shared" si="14"/>
        <v>15</v>
      </c>
      <c r="N94" s="28">
        <f t="shared" si="15"/>
        <v>4</v>
      </c>
      <c r="O94" s="28">
        <f t="shared" si="16"/>
        <v>2023</v>
      </c>
      <c r="P94" s="28" t="str">
        <f t="shared" si="17"/>
        <v>High Price</v>
      </c>
      <c r="Q94" s="28" t="str">
        <f t="shared" si="18"/>
        <v>Good</v>
      </c>
      <c r="R94" s="28" t="str">
        <f t="shared" si="19"/>
        <v>No Discount</v>
      </c>
      <c r="S94" s="28" t="str">
        <f t="shared" si="20"/>
        <v>Low Priority Review</v>
      </c>
      <c r="T94" s="28" t="str">
        <f t="shared" si="21"/>
        <v>We</v>
      </c>
      <c r="U94" s="1"/>
      <c r="V94" s="1"/>
      <c r="W94" s="1"/>
      <c r="X94" s="1"/>
      <c r="Y94" s="1"/>
    </row>
    <row r="95" spans="1:25" ht="15.75" customHeight="1" x14ac:dyDescent="0.35">
      <c r="A95" s="28" t="s">
        <v>135</v>
      </c>
      <c r="B95" s="28" t="s">
        <v>36</v>
      </c>
      <c r="C95" s="28" t="s">
        <v>22</v>
      </c>
      <c r="D95" s="28" t="s">
        <v>23</v>
      </c>
      <c r="E95" s="28">
        <v>13</v>
      </c>
      <c r="F95" s="28">
        <v>750</v>
      </c>
      <c r="G95" s="28">
        <v>20</v>
      </c>
      <c r="H95" s="28" t="s">
        <v>24</v>
      </c>
      <c r="I95" s="29">
        <v>45092</v>
      </c>
      <c r="J95" s="28">
        <f t="shared" si="11"/>
        <v>7800</v>
      </c>
      <c r="K95" s="28">
        <f t="shared" si="12"/>
        <v>1170</v>
      </c>
      <c r="L95" s="28">
        <f t="shared" si="13"/>
        <v>9750</v>
      </c>
      <c r="M95" s="28">
        <f t="shared" si="14"/>
        <v>15</v>
      </c>
      <c r="N95" s="28">
        <f t="shared" si="15"/>
        <v>6</v>
      </c>
      <c r="O95" s="28">
        <f t="shared" si="16"/>
        <v>2023</v>
      </c>
      <c r="P95" s="28" t="str">
        <f t="shared" si="17"/>
        <v>High Price</v>
      </c>
      <c r="Q95" s="28" t="str">
        <f t="shared" si="18"/>
        <v>Bad</v>
      </c>
      <c r="R95" s="28" t="str">
        <f t="shared" si="19"/>
        <v>High Discount</v>
      </c>
      <c r="S95" s="28" t="str">
        <f t="shared" si="20"/>
        <v>No Review Needed</v>
      </c>
      <c r="T95" s="28" t="str">
        <f t="shared" si="21"/>
        <v>So</v>
      </c>
      <c r="U95" s="1"/>
      <c r="V95" s="1"/>
      <c r="W95" s="1"/>
      <c r="X95" s="1"/>
      <c r="Y95" s="1"/>
    </row>
    <row r="96" spans="1:25" ht="15.75" customHeight="1" x14ac:dyDescent="0.35">
      <c r="A96" s="28" t="s">
        <v>136</v>
      </c>
      <c r="B96" s="28" t="s">
        <v>34</v>
      </c>
      <c r="C96" s="28" t="s">
        <v>22</v>
      </c>
      <c r="D96" s="28" t="s">
        <v>77</v>
      </c>
      <c r="E96" s="28">
        <v>1</v>
      </c>
      <c r="F96" s="28">
        <v>2000</v>
      </c>
      <c r="G96" s="28">
        <v>20</v>
      </c>
      <c r="H96" s="28" t="s">
        <v>24</v>
      </c>
      <c r="I96" s="29">
        <v>45122</v>
      </c>
      <c r="J96" s="28">
        <f t="shared" si="11"/>
        <v>1600</v>
      </c>
      <c r="K96" s="28">
        <f t="shared" si="12"/>
        <v>240</v>
      </c>
      <c r="L96" s="28">
        <f t="shared" si="13"/>
        <v>2000</v>
      </c>
      <c r="M96" s="28">
        <f t="shared" si="14"/>
        <v>15</v>
      </c>
      <c r="N96" s="28">
        <f t="shared" si="15"/>
        <v>7</v>
      </c>
      <c r="O96" s="28">
        <f t="shared" si="16"/>
        <v>2023</v>
      </c>
      <c r="P96" s="28" t="str">
        <f t="shared" si="17"/>
        <v>High Price</v>
      </c>
      <c r="Q96" s="28" t="str">
        <f t="shared" si="18"/>
        <v>Bad</v>
      </c>
      <c r="R96" s="28" t="str">
        <f t="shared" si="19"/>
        <v>High Discount</v>
      </c>
      <c r="S96" s="28" t="str">
        <f t="shared" si="20"/>
        <v>No Review Needed</v>
      </c>
      <c r="T96" s="28" t="str">
        <f t="shared" si="21"/>
        <v>So</v>
      </c>
      <c r="U96" s="1"/>
      <c r="V96" s="1"/>
      <c r="W96" s="1"/>
      <c r="X96" s="1"/>
      <c r="Y96" s="1"/>
    </row>
    <row r="97" spans="1:25" ht="15.75" customHeight="1" x14ac:dyDescent="0.35">
      <c r="A97" s="28" t="s">
        <v>137</v>
      </c>
      <c r="B97" s="28" t="s">
        <v>43</v>
      </c>
      <c r="C97" s="28" t="s">
        <v>22</v>
      </c>
      <c r="D97" s="28" t="s">
        <v>23</v>
      </c>
      <c r="E97" s="28">
        <v>9</v>
      </c>
      <c r="F97" s="28">
        <v>1750</v>
      </c>
      <c r="G97" s="28">
        <v>15</v>
      </c>
      <c r="H97" s="28" t="s">
        <v>24</v>
      </c>
      <c r="I97" s="29">
        <v>45153</v>
      </c>
      <c r="J97" s="28">
        <f t="shared" si="11"/>
        <v>13387.5</v>
      </c>
      <c r="K97" s="28">
        <f t="shared" si="12"/>
        <v>2008.13</v>
      </c>
      <c r="L97" s="28">
        <f t="shared" si="13"/>
        <v>15750</v>
      </c>
      <c r="M97" s="28">
        <f t="shared" si="14"/>
        <v>15</v>
      </c>
      <c r="N97" s="28">
        <f t="shared" si="15"/>
        <v>8</v>
      </c>
      <c r="O97" s="28">
        <f t="shared" si="16"/>
        <v>2023</v>
      </c>
      <c r="P97" s="28" t="str">
        <f t="shared" si="17"/>
        <v>High Price</v>
      </c>
      <c r="Q97" s="28" t="str">
        <f t="shared" si="18"/>
        <v>Bad</v>
      </c>
      <c r="R97" s="28" t="str">
        <f t="shared" si="19"/>
        <v>High Discount</v>
      </c>
      <c r="S97" s="28" t="str">
        <f t="shared" si="20"/>
        <v>No Review Needed</v>
      </c>
      <c r="T97" s="28" t="str">
        <f t="shared" si="21"/>
        <v>So</v>
      </c>
      <c r="U97" s="1"/>
      <c r="V97" s="1"/>
      <c r="W97" s="1"/>
      <c r="X97" s="1"/>
      <c r="Y97" s="1"/>
    </row>
    <row r="98" spans="1:25" ht="15.75" customHeight="1" x14ac:dyDescent="0.35">
      <c r="A98" s="28" t="s">
        <v>138</v>
      </c>
      <c r="B98" s="28" t="s">
        <v>57</v>
      </c>
      <c r="C98" s="28" t="s">
        <v>26</v>
      </c>
      <c r="D98" s="28" t="s">
        <v>44</v>
      </c>
      <c r="E98" s="28">
        <v>21</v>
      </c>
      <c r="F98" s="28">
        <v>3000</v>
      </c>
      <c r="G98" s="28">
        <v>5</v>
      </c>
      <c r="H98" s="28" t="s">
        <v>32</v>
      </c>
      <c r="I98" s="29">
        <v>45153</v>
      </c>
      <c r="J98" s="28">
        <f t="shared" si="11"/>
        <v>59850</v>
      </c>
      <c r="K98" s="28">
        <f t="shared" si="12"/>
        <v>8977.5</v>
      </c>
      <c r="L98" s="28">
        <f t="shared" si="13"/>
        <v>63000</v>
      </c>
      <c r="M98" s="28">
        <f t="shared" si="14"/>
        <v>15</v>
      </c>
      <c r="N98" s="28">
        <f t="shared" si="15"/>
        <v>8</v>
      </c>
      <c r="O98" s="28">
        <f t="shared" si="16"/>
        <v>2023</v>
      </c>
      <c r="P98" s="28" t="str">
        <f t="shared" si="17"/>
        <v>High Price</v>
      </c>
      <c r="Q98" s="28" t="str">
        <f t="shared" si="18"/>
        <v>Good</v>
      </c>
      <c r="R98" s="28" t="str">
        <f t="shared" si="19"/>
        <v>Low Discont</v>
      </c>
      <c r="S98" s="28" t="str">
        <f t="shared" si="20"/>
        <v>Low Priority Review</v>
      </c>
      <c r="T98" s="28" t="str">
        <f t="shared" si="21"/>
        <v>No</v>
      </c>
      <c r="U98" s="1"/>
      <c r="V98" s="1"/>
      <c r="W98" s="1"/>
      <c r="X98" s="1"/>
      <c r="Y98" s="1"/>
    </row>
    <row r="99" spans="1:25" ht="15.75" customHeight="1" x14ac:dyDescent="0.35">
      <c r="A99" s="28" t="s">
        <v>139</v>
      </c>
      <c r="B99" s="28" t="s">
        <v>39</v>
      </c>
      <c r="C99" s="28" t="s">
        <v>30</v>
      </c>
      <c r="D99" s="28" t="s">
        <v>74</v>
      </c>
      <c r="E99" s="28">
        <v>7</v>
      </c>
      <c r="F99" s="28">
        <v>250</v>
      </c>
      <c r="G99" s="28">
        <v>0</v>
      </c>
      <c r="H99" s="28" t="s">
        <v>24</v>
      </c>
      <c r="I99" s="29">
        <v>45184</v>
      </c>
      <c r="J99" s="28">
        <f t="shared" si="11"/>
        <v>1750</v>
      </c>
      <c r="K99" s="28">
        <f t="shared" si="12"/>
        <v>262.5</v>
      </c>
      <c r="L99" s="28">
        <f t="shared" si="13"/>
        <v>1750</v>
      </c>
      <c r="M99" s="28">
        <f t="shared" si="14"/>
        <v>15</v>
      </c>
      <c r="N99" s="28">
        <f t="shared" si="15"/>
        <v>9</v>
      </c>
      <c r="O99" s="28">
        <f t="shared" si="16"/>
        <v>2023</v>
      </c>
      <c r="P99" s="28" t="str">
        <f t="shared" si="17"/>
        <v>Low Price</v>
      </c>
      <c r="Q99" s="28" t="str">
        <f t="shared" si="18"/>
        <v>Bad</v>
      </c>
      <c r="R99" s="28" t="str">
        <f t="shared" si="19"/>
        <v>No Discount</v>
      </c>
      <c r="S99" s="28" t="str">
        <f t="shared" si="20"/>
        <v>No Review Needed</v>
      </c>
      <c r="T99" s="28" t="str">
        <f t="shared" si="21"/>
        <v>We</v>
      </c>
      <c r="U99" s="1"/>
      <c r="V99" s="1"/>
      <c r="W99" s="1"/>
      <c r="X99" s="1"/>
      <c r="Y99" s="1"/>
    </row>
    <row r="100" spans="1:25" ht="15.75" customHeight="1" x14ac:dyDescent="0.35">
      <c r="A100" s="28" t="s">
        <v>140</v>
      </c>
      <c r="B100" s="28" t="s">
        <v>43</v>
      </c>
      <c r="C100" s="28" t="s">
        <v>30</v>
      </c>
      <c r="D100" s="28" t="s">
        <v>74</v>
      </c>
      <c r="E100" s="28">
        <v>2</v>
      </c>
      <c r="F100" s="28">
        <v>1750</v>
      </c>
      <c r="G100" s="28"/>
      <c r="H100" s="28" t="s">
        <v>24</v>
      </c>
      <c r="I100" s="29">
        <v>45184</v>
      </c>
      <c r="J100" s="28">
        <f t="shared" si="11"/>
        <v>3500</v>
      </c>
      <c r="K100" s="28">
        <f t="shared" si="12"/>
        <v>525</v>
      </c>
      <c r="L100" s="28">
        <f t="shared" si="13"/>
        <v>3500</v>
      </c>
      <c r="M100" s="28">
        <f t="shared" si="14"/>
        <v>15</v>
      </c>
      <c r="N100" s="28">
        <f t="shared" si="15"/>
        <v>9</v>
      </c>
      <c r="O100" s="28">
        <f t="shared" si="16"/>
        <v>2023</v>
      </c>
      <c r="P100" s="28" t="str">
        <f t="shared" si="17"/>
        <v>High Price</v>
      </c>
      <c r="Q100" s="28" t="str">
        <f t="shared" si="18"/>
        <v>Bad</v>
      </c>
      <c r="R100" s="28" t="str">
        <f t="shared" si="19"/>
        <v>No Discount</v>
      </c>
      <c r="S100" s="28" t="str">
        <f t="shared" si="20"/>
        <v>No Review Needed</v>
      </c>
      <c r="T100" s="28" t="str">
        <f t="shared" si="21"/>
        <v>We</v>
      </c>
      <c r="U100" s="1"/>
      <c r="V100" s="1"/>
      <c r="W100" s="1"/>
      <c r="X100" s="1"/>
      <c r="Y100" s="1"/>
    </row>
    <row r="101" spans="1:25" ht="15.75" customHeight="1" x14ac:dyDescent="0.35">
      <c r="A101" s="28" t="s">
        <v>141</v>
      </c>
      <c r="B101" s="28" t="s">
        <v>21</v>
      </c>
      <c r="C101" s="28" t="s">
        <v>22</v>
      </c>
      <c r="D101" s="28" t="s">
        <v>23</v>
      </c>
      <c r="E101" s="28">
        <v>27</v>
      </c>
      <c r="F101" s="28">
        <v>500</v>
      </c>
      <c r="G101" s="28">
        <v>5</v>
      </c>
      <c r="H101" s="28" t="s">
        <v>24</v>
      </c>
      <c r="I101" s="29">
        <v>45245</v>
      </c>
      <c r="J101" s="28">
        <f t="shared" si="11"/>
        <v>12825</v>
      </c>
      <c r="K101" s="28">
        <f t="shared" si="12"/>
        <v>1923.75</v>
      </c>
      <c r="L101" s="28">
        <f t="shared" si="13"/>
        <v>13500</v>
      </c>
      <c r="M101" s="28">
        <f t="shared" si="14"/>
        <v>15</v>
      </c>
      <c r="N101" s="28">
        <f t="shared" si="15"/>
        <v>11</v>
      </c>
      <c r="O101" s="28">
        <f t="shared" si="16"/>
        <v>2023</v>
      </c>
      <c r="P101" s="28" t="str">
        <f t="shared" si="17"/>
        <v>High Price</v>
      </c>
      <c r="Q101" s="28" t="str">
        <f t="shared" si="18"/>
        <v>Bad</v>
      </c>
      <c r="R101" s="28" t="str">
        <f t="shared" si="19"/>
        <v>Low Discont</v>
      </c>
      <c r="S101" s="28" t="str">
        <f t="shared" si="20"/>
        <v>No Review Needed</v>
      </c>
      <c r="T101" s="28" t="str">
        <f t="shared" si="21"/>
        <v>So</v>
      </c>
      <c r="U101" s="1"/>
      <c r="V101" s="1"/>
      <c r="W101" s="1"/>
      <c r="X101" s="1"/>
      <c r="Y101" s="1"/>
    </row>
    <row r="102" spans="1:25" ht="15.75" customHeight="1" x14ac:dyDescent="0.35">
      <c r="A102" s="28" t="s">
        <v>142</v>
      </c>
      <c r="B102" s="28" t="s">
        <v>29</v>
      </c>
      <c r="C102" s="28" t="s">
        <v>22</v>
      </c>
      <c r="D102" s="28" t="s">
        <v>23</v>
      </c>
      <c r="E102" s="28">
        <v>10</v>
      </c>
      <c r="F102" s="28">
        <v>5000</v>
      </c>
      <c r="G102" s="28">
        <v>20</v>
      </c>
      <c r="H102" s="28" t="s">
        <v>24</v>
      </c>
      <c r="I102" s="29">
        <v>45275</v>
      </c>
      <c r="J102" s="28">
        <f t="shared" si="11"/>
        <v>40000</v>
      </c>
      <c r="K102" s="28">
        <f t="shared" si="12"/>
        <v>6000</v>
      </c>
      <c r="L102" s="28">
        <f t="shared" si="13"/>
        <v>50000</v>
      </c>
      <c r="M102" s="28">
        <f t="shared" si="14"/>
        <v>15</v>
      </c>
      <c r="N102" s="28">
        <f t="shared" si="15"/>
        <v>12</v>
      </c>
      <c r="O102" s="28">
        <f t="shared" si="16"/>
        <v>2023</v>
      </c>
      <c r="P102" s="28" t="str">
        <f t="shared" si="17"/>
        <v>High Price</v>
      </c>
      <c r="Q102" s="28" t="str">
        <f t="shared" si="18"/>
        <v>Good</v>
      </c>
      <c r="R102" s="28" t="str">
        <f t="shared" si="19"/>
        <v>High Discount</v>
      </c>
      <c r="S102" s="28" t="str">
        <f t="shared" si="20"/>
        <v>No Review Needed</v>
      </c>
      <c r="T102" s="28" t="str">
        <f t="shared" si="21"/>
        <v>So</v>
      </c>
      <c r="U102" s="1"/>
      <c r="V102" s="1"/>
      <c r="W102" s="1"/>
      <c r="X102" s="1"/>
      <c r="Y102" s="1"/>
    </row>
    <row r="103" spans="1:25" ht="15.75" customHeight="1" x14ac:dyDescent="0.35">
      <c r="A103" s="28" t="s">
        <v>143</v>
      </c>
      <c r="B103" s="28" t="s">
        <v>39</v>
      </c>
      <c r="C103" s="28" t="s">
        <v>22</v>
      </c>
      <c r="D103" s="28" t="s">
        <v>77</v>
      </c>
      <c r="E103" s="28">
        <v>9</v>
      </c>
      <c r="F103" s="28">
        <v>250</v>
      </c>
      <c r="G103" s="28">
        <v>10</v>
      </c>
      <c r="H103" s="28" t="s">
        <v>32</v>
      </c>
      <c r="I103" s="29">
        <v>44973</v>
      </c>
      <c r="J103" s="28">
        <f t="shared" si="11"/>
        <v>2025</v>
      </c>
      <c r="K103" s="28">
        <f t="shared" si="12"/>
        <v>303.75</v>
      </c>
      <c r="L103" s="28">
        <f t="shared" si="13"/>
        <v>2250</v>
      </c>
      <c r="M103" s="28">
        <f t="shared" si="14"/>
        <v>16</v>
      </c>
      <c r="N103" s="28">
        <f t="shared" si="15"/>
        <v>2</v>
      </c>
      <c r="O103" s="28">
        <f t="shared" si="16"/>
        <v>2023</v>
      </c>
      <c r="P103" s="28" t="str">
        <f t="shared" si="17"/>
        <v>Low Price</v>
      </c>
      <c r="Q103" s="28" t="str">
        <f t="shared" si="18"/>
        <v>Bad</v>
      </c>
      <c r="R103" s="28" t="str">
        <f t="shared" si="19"/>
        <v>Low Discont</v>
      </c>
      <c r="S103" s="28" t="str">
        <f t="shared" si="20"/>
        <v>Low Priority Review</v>
      </c>
      <c r="T103" s="28" t="str">
        <f t="shared" si="21"/>
        <v>So</v>
      </c>
      <c r="U103" s="1"/>
      <c r="V103" s="1"/>
      <c r="W103" s="1"/>
      <c r="X103" s="1"/>
      <c r="Y103" s="1"/>
    </row>
    <row r="104" spans="1:25" ht="15.75" customHeight="1" x14ac:dyDescent="0.35">
      <c r="A104" s="28" t="s">
        <v>144</v>
      </c>
      <c r="B104" s="28" t="s">
        <v>29</v>
      </c>
      <c r="C104" s="28" t="s">
        <v>26</v>
      </c>
      <c r="D104" s="28" t="s">
        <v>44</v>
      </c>
      <c r="E104" s="28">
        <v>4</v>
      </c>
      <c r="F104" s="28">
        <v>5000</v>
      </c>
      <c r="G104" s="28">
        <v>5</v>
      </c>
      <c r="H104" s="28" t="s">
        <v>24</v>
      </c>
      <c r="I104" s="29">
        <v>44973</v>
      </c>
      <c r="J104" s="28">
        <f t="shared" si="11"/>
        <v>19000</v>
      </c>
      <c r="K104" s="28">
        <f t="shared" si="12"/>
        <v>2850</v>
      </c>
      <c r="L104" s="28">
        <f t="shared" si="13"/>
        <v>20000</v>
      </c>
      <c r="M104" s="28">
        <f t="shared" si="14"/>
        <v>16</v>
      </c>
      <c r="N104" s="28">
        <f t="shared" si="15"/>
        <v>2</v>
      </c>
      <c r="O104" s="28">
        <f t="shared" si="16"/>
        <v>2023</v>
      </c>
      <c r="P104" s="28" t="str">
        <f t="shared" si="17"/>
        <v>High Price</v>
      </c>
      <c r="Q104" s="28" t="str">
        <f t="shared" si="18"/>
        <v>Bad</v>
      </c>
      <c r="R104" s="28" t="str">
        <f t="shared" si="19"/>
        <v>Low Discont</v>
      </c>
      <c r="S104" s="28" t="str">
        <f t="shared" si="20"/>
        <v>No Review Needed</v>
      </c>
      <c r="T104" s="28" t="str">
        <f t="shared" si="21"/>
        <v>No</v>
      </c>
      <c r="U104" s="1"/>
      <c r="V104" s="1"/>
      <c r="W104" s="1"/>
      <c r="X104" s="1"/>
      <c r="Y104" s="1"/>
    </row>
    <row r="105" spans="1:25" ht="15.75" customHeight="1" x14ac:dyDescent="0.35">
      <c r="A105" s="28" t="s">
        <v>145</v>
      </c>
      <c r="B105" s="28" t="s">
        <v>39</v>
      </c>
      <c r="C105" s="28" t="s">
        <v>26</v>
      </c>
      <c r="D105" s="28" t="s">
        <v>44</v>
      </c>
      <c r="E105" s="28">
        <v>16</v>
      </c>
      <c r="F105" s="28">
        <v>250</v>
      </c>
      <c r="G105" s="28">
        <v>0</v>
      </c>
      <c r="H105" s="28" t="s">
        <v>24</v>
      </c>
      <c r="I105" s="29">
        <v>45185</v>
      </c>
      <c r="J105" s="28">
        <f t="shared" si="11"/>
        <v>4000</v>
      </c>
      <c r="K105" s="28">
        <f t="shared" si="12"/>
        <v>600</v>
      </c>
      <c r="L105" s="28">
        <f t="shared" si="13"/>
        <v>4000</v>
      </c>
      <c r="M105" s="28">
        <f t="shared" si="14"/>
        <v>16</v>
      </c>
      <c r="N105" s="28">
        <f t="shared" si="15"/>
        <v>9</v>
      </c>
      <c r="O105" s="28">
        <f t="shared" si="16"/>
        <v>2023</v>
      </c>
      <c r="P105" s="28" t="str">
        <f t="shared" si="17"/>
        <v>Low Price</v>
      </c>
      <c r="Q105" s="28" t="str">
        <f t="shared" si="18"/>
        <v>Bad</v>
      </c>
      <c r="R105" s="28" t="str">
        <f t="shared" si="19"/>
        <v>No Discount</v>
      </c>
      <c r="S105" s="28" t="str">
        <f t="shared" si="20"/>
        <v>No Review Needed</v>
      </c>
      <c r="T105" s="28" t="str">
        <f t="shared" si="21"/>
        <v>No</v>
      </c>
      <c r="U105" s="1"/>
      <c r="V105" s="1"/>
      <c r="W105" s="1"/>
      <c r="X105" s="1"/>
      <c r="Y105" s="1"/>
    </row>
    <row r="106" spans="1:25" ht="15.75" customHeight="1" x14ac:dyDescent="0.35">
      <c r="A106" s="28" t="s">
        <v>146</v>
      </c>
      <c r="B106" s="28" t="s">
        <v>36</v>
      </c>
      <c r="C106" s="28" t="s">
        <v>26</v>
      </c>
      <c r="D106" s="28" t="s">
        <v>27</v>
      </c>
      <c r="E106" s="28">
        <v>10</v>
      </c>
      <c r="F106" s="28">
        <v>750</v>
      </c>
      <c r="G106" s="28">
        <v>10</v>
      </c>
      <c r="H106" s="28" t="s">
        <v>24</v>
      </c>
      <c r="I106" s="29">
        <v>45246</v>
      </c>
      <c r="J106" s="28">
        <f t="shared" si="11"/>
        <v>6750</v>
      </c>
      <c r="K106" s="28">
        <f t="shared" si="12"/>
        <v>1012.5</v>
      </c>
      <c r="L106" s="28">
        <f t="shared" si="13"/>
        <v>7500</v>
      </c>
      <c r="M106" s="28">
        <f t="shared" si="14"/>
        <v>16</v>
      </c>
      <c r="N106" s="28">
        <f t="shared" si="15"/>
        <v>11</v>
      </c>
      <c r="O106" s="28">
        <f t="shared" si="16"/>
        <v>2023</v>
      </c>
      <c r="P106" s="28" t="str">
        <f t="shared" si="17"/>
        <v>High Price</v>
      </c>
      <c r="Q106" s="28" t="str">
        <f t="shared" si="18"/>
        <v>Bad</v>
      </c>
      <c r="R106" s="28" t="str">
        <f t="shared" si="19"/>
        <v>Low Discont</v>
      </c>
      <c r="S106" s="28" t="str">
        <f t="shared" si="20"/>
        <v>No Review Needed</v>
      </c>
      <c r="T106" s="28" t="str">
        <f t="shared" si="21"/>
        <v>No</v>
      </c>
      <c r="U106" s="1"/>
      <c r="V106" s="1"/>
      <c r="W106" s="1"/>
      <c r="X106" s="1"/>
      <c r="Y106" s="1"/>
    </row>
    <row r="107" spans="1:25" ht="15.75" customHeight="1" x14ac:dyDescent="0.35">
      <c r="A107" s="28" t="s">
        <v>147</v>
      </c>
      <c r="B107" s="28" t="s">
        <v>36</v>
      </c>
      <c r="C107" s="28" t="s">
        <v>22</v>
      </c>
      <c r="D107" s="28" t="s">
        <v>77</v>
      </c>
      <c r="E107" s="28">
        <v>14</v>
      </c>
      <c r="F107" s="28">
        <v>750</v>
      </c>
      <c r="G107" s="28">
        <v>15</v>
      </c>
      <c r="H107" s="28" t="s">
        <v>24</v>
      </c>
      <c r="I107" s="29">
        <v>44943</v>
      </c>
      <c r="J107" s="28">
        <f t="shared" si="11"/>
        <v>8925</v>
      </c>
      <c r="K107" s="28">
        <f t="shared" si="12"/>
        <v>1338.75</v>
      </c>
      <c r="L107" s="28">
        <f t="shared" si="13"/>
        <v>10500</v>
      </c>
      <c r="M107" s="28">
        <f t="shared" si="14"/>
        <v>17</v>
      </c>
      <c r="N107" s="28">
        <f t="shared" si="15"/>
        <v>1</v>
      </c>
      <c r="O107" s="28">
        <f t="shared" si="16"/>
        <v>2023</v>
      </c>
      <c r="P107" s="28" t="str">
        <f t="shared" si="17"/>
        <v>High Price</v>
      </c>
      <c r="Q107" s="28" t="str">
        <f t="shared" si="18"/>
        <v>Bad</v>
      </c>
      <c r="R107" s="28" t="str">
        <f t="shared" si="19"/>
        <v>High Discount</v>
      </c>
      <c r="S107" s="28" t="str">
        <f t="shared" si="20"/>
        <v>No Review Needed</v>
      </c>
      <c r="T107" s="28" t="str">
        <f t="shared" si="21"/>
        <v>So</v>
      </c>
      <c r="U107" s="1"/>
      <c r="V107" s="1"/>
      <c r="W107" s="1"/>
      <c r="X107" s="1"/>
      <c r="Y107" s="1"/>
    </row>
    <row r="108" spans="1:25" ht="15.75" customHeight="1" x14ac:dyDescent="0.35">
      <c r="A108" s="28" t="s">
        <v>148</v>
      </c>
      <c r="B108" s="28" t="s">
        <v>43</v>
      </c>
      <c r="C108" s="28" t="s">
        <v>30</v>
      </c>
      <c r="D108" s="28" t="s">
        <v>31</v>
      </c>
      <c r="E108" s="28">
        <v>38</v>
      </c>
      <c r="F108" s="28">
        <v>1750</v>
      </c>
      <c r="G108" s="28">
        <v>5</v>
      </c>
      <c r="H108" s="28" t="s">
        <v>24</v>
      </c>
      <c r="I108" s="29">
        <v>45002</v>
      </c>
      <c r="J108" s="28">
        <f t="shared" si="11"/>
        <v>63175</v>
      </c>
      <c r="K108" s="28">
        <f t="shared" si="12"/>
        <v>9476.25</v>
      </c>
      <c r="L108" s="28">
        <f t="shared" si="13"/>
        <v>66500</v>
      </c>
      <c r="M108" s="28">
        <f t="shared" si="14"/>
        <v>17</v>
      </c>
      <c r="N108" s="28">
        <f t="shared" si="15"/>
        <v>3</v>
      </c>
      <c r="O108" s="28">
        <f t="shared" si="16"/>
        <v>2023</v>
      </c>
      <c r="P108" s="28" t="str">
        <f t="shared" si="17"/>
        <v>High Price</v>
      </c>
      <c r="Q108" s="28" t="str">
        <f t="shared" si="18"/>
        <v>Good</v>
      </c>
      <c r="R108" s="28" t="str">
        <f t="shared" si="19"/>
        <v>Low Discont</v>
      </c>
      <c r="S108" s="28" t="str">
        <f t="shared" si="20"/>
        <v>No Review Needed</v>
      </c>
      <c r="T108" s="28" t="str">
        <f t="shared" si="21"/>
        <v>We</v>
      </c>
      <c r="U108" s="1"/>
      <c r="V108" s="1"/>
      <c r="W108" s="1"/>
      <c r="X108" s="1"/>
      <c r="Y108" s="1"/>
    </row>
    <row r="109" spans="1:25" ht="15.75" customHeight="1" x14ac:dyDescent="0.35">
      <c r="A109" s="28" t="s">
        <v>149</v>
      </c>
      <c r="B109" s="28" t="s">
        <v>54</v>
      </c>
      <c r="C109" s="28" t="s">
        <v>22</v>
      </c>
      <c r="D109" s="28" t="s">
        <v>77</v>
      </c>
      <c r="E109" s="28">
        <v>31</v>
      </c>
      <c r="F109" s="28">
        <v>1000</v>
      </c>
      <c r="G109" s="28">
        <v>10</v>
      </c>
      <c r="H109" s="28" t="s">
        <v>24</v>
      </c>
      <c r="I109" s="29">
        <v>45155</v>
      </c>
      <c r="J109" s="28">
        <f t="shared" si="11"/>
        <v>27900</v>
      </c>
      <c r="K109" s="28">
        <f t="shared" si="12"/>
        <v>4185</v>
      </c>
      <c r="L109" s="28">
        <f t="shared" si="13"/>
        <v>31000</v>
      </c>
      <c r="M109" s="28">
        <f t="shared" si="14"/>
        <v>17</v>
      </c>
      <c r="N109" s="28">
        <f t="shared" si="15"/>
        <v>8</v>
      </c>
      <c r="O109" s="28">
        <f t="shared" si="16"/>
        <v>2023</v>
      </c>
      <c r="P109" s="28" t="str">
        <f t="shared" si="17"/>
        <v>High Price</v>
      </c>
      <c r="Q109" s="28" t="str">
        <f t="shared" si="18"/>
        <v>Good</v>
      </c>
      <c r="R109" s="28" t="str">
        <f t="shared" si="19"/>
        <v>Low Discont</v>
      </c>
      <c r="S109" s="28" t="str">
        <f t="shared" si="20"/>
        <v>No Review Needed</v>
      </c>
      <c r="T109" s="28" t="str">
        <f t="shared" si="21"/>
        <v>So</v>
      </c>
      <c r="U109" s="1"/>
      <c r="V109" s="1"/>
      <c r="W109" s="1"/>
      <c r="X109" s="1"/>
      <c r="Y109" s="1"/>
    </row>
    <row r="110" spans="1:25" ht="15.75" customHeight="1" x14ac:dyDescent="0.35">
      <c r="A110" s="28" t="s">
        <v>150</v>
      </c>
      <c r="B110" s="28" t="s">
        <v>36</v>
      </c>
      <c r="C110" s="28" t="s">
        <v>26</v>
      </c>
      <c r="D110" s="28" t="s">
        <v>44</v>
      </c>
      <c r="E110" s="28">
        <v>14</v>
      </c>
      <c r="F110" s="28">
        <v>750</v>
      </c>
      <c r="G110" s="28">
        <v>15</v>
      </c>
      <c r="H110" s="28" t="s">
        <v>24</v>
      </c>
      <c r="I110" s="29">
        <v>45186</v>
      </c>
      <c r="J110" s="28">
        <f t="shared" si="11"/>
        <v>8925</v>
      </c>
      <c r="K110" s="28">
        <f t="shared" si="12"/>
        <v>1338.75</v>
      </c>
      <c r="L110" s="28">
        <f t="shared" si="13"/>
        <v>10500</v>
      </c>
      <c r="M110" s="28">
        <f t="shared" si="14"/>
        <v>17</v>
      </c>
      <c r="N110" s="28">
        <f t="shared" si="15"/>
        <v>9</v>
      </c>
      <c r="O110" s="28">
        <f t="shared" si="16"/>
        <v>2023</v>
      </c>
      <c r="P110" s="28" t="str">
        <f t="shared" si="17"/>
        <v>High Price</v>
      </c>
      <c r="Q110" s="28" t="str">
        <f t="shared" si="18"/>
        <v>Bad</v>
      </c>
      <c r="R110" s="28" t="str">
        <f t="shared" si="19"/>
        <v>High Discount</v>
      </c>
      <c r="S110" s="28" t="str">
        <f t="shared" si="20"/>
        <v>No Review Needed</v>
      </c>
      <c r="T110" s="28" t="str">
        <f t="shared" si="21"/>
        <v>No</v>
      </c>
      <c r="U110" s="1"/>
      <c r="V110" s="1"/>
      <c r="W110" s="1"/>
      <c r="X110" s="1"/>
      <c r="Y110" s="1"/>
    </row>
    <row r="111" spans="1:25" ht="15.75" customHeight="1" x14ac:dyDescent="0.35">
      <c r="A111" s="28" t="s">
        <v>151</v>
      </c>
      <c r="B111" s="28" t="s">
        <v>29</v>
      </c>
      <c r="C111" s="28" t="s">
        <v>22</v>
      </c>
      <c r="D111" s="28" t="s">
        <v>77</v>
      </c>
      <c r="E111" s="28">
        <v>9</v>
      </c>
      <c r="F111" s="28">
        <v>5000</v>
      </c>
      <c r="G111" s="28">
        <v>10</v>
      </c>
      <c r="H111" s="28" t="s">
        <v>32</v>
      </c>
      <c r="I111" s="29">
        <v>45216</v>
      </c>
      <c r="J111" s="28">
        <f t="shared" si="11"/>
        <v>40500</v>
      </c>
      <c r="K111" s="28">
        <f t="shared" si="12"/>
        <v>6075</v>
      </c>
      <c r="L111" s="28">
        <f t="shared" si="13"/>
        <v>45000</v>
      </c>
      <c r="M111" s="28">
        <f t="shared" si="14"/>
        <v>17</v>
      </c>
      <c r="N111" s="28">
        <f t="shared" si="15"/>
        <v>10</v>
      </c>
      <c r="O111" s="28">
        <f t="shared" si="16"/>
        <v>2023</v>
      </c>
      <c r="P111" s="28" t="str">
        <f t="shared" si="17"/>
        <v>High Price</v>
      </c>
      <c r="Q111" s="28" t="str">
        <f t="shared" si="18"/>
        <v>Good</v>
      </c>
      <c r="R111" s="28" t="str">
        <f t="shared" si="19"/>
        <v>Low Discont</v>
      </c>
      <c r="S111" s="28" t="str">
        <f t="shared" si="20"/>
        <v>Low Priority Review</v>
      </c>
      <c r="T111" s="28" t="str">
        <f t="shared" si="21"/>
        <v>So</v>
      </c>
      <c r="U111" s="1"/>
      <c r="V111" s="1"/>
      <c r="W111" s="1"/>
      <c r="X111" s="1"/>
      <c r="Y111" s="1"/>
    </row>
    <row r="112" spans="1:25" ht="15.75" customHeight="1" x14ac:dyDescent="0.35">
      <c r="A112" s="28" t="s">
        <v>152</v>
      </c>
      <c r="B112" s="28" t="s">
        <v>54</v>
      </c>
      <c r="C112" s="28" t="s">
        <v>37</v>
      </c>
      <c r="D112" s="28" t="s">
        <v>47</v>
      </c>
      <c r="E112" s="28">
        <v>43</v>
      </c>
      <c r="F112" s="28">
        <v>1000</v>
      </c>
      <c r="G112" s="28">
        <v>10</v>
      </c>
      <c r="H112" s="28" t="s">
        <v>32</v>
      </c>
      <c r="I112" s="29">
        <v>45216</v>
      </c>
      <c r="J112" s="28">
        <f t="shared" si="11"/>
        <v>38700</v>
      </c>
      <c r="K112" s="28">
        <f t="shared" si="12"/>
        <v>5805</v>
      </c>
      <c r="L112" s="28">
        <f t="shared" si="13"/>
        <v>43000</v>
      </c>
      <c r="M112" s="28">
        <f t="shared" si="14"/>
        <v>17</v>
      </c>
      <c r="N112" s="28">
        <f t="shared" si="15"/>
        <v>10</v>
      </c>
      <c r="O112" s="28">
        <f t="shared" si="16"/>
        <v>2023</v>
      </c>
      <c r="P112" s="28" t="str">
        <f t="shared" si="17"/>
        <v>High Price</v>
      </c>
      <c r="Q112" s="28" t="str">
        <f t="shared" si="18"/>
        <v>Good</v>
      </c>
      <c r="R112" s="28" t="str">
        <f t="shared" si="19"/>
        <v>Low Discont</v>
      </c>
      <c r="S112" s="28" t="str">
        <f t="shared" si="20"/>
        <v>Low Priority Review</v>
      </c>
      <c r="T112" s="28" t="str">
        <f t="shared" si="21"/>
        <v>Ea</v>
      </c>
      <c r="U112" s="1"/>
      <c r="V112" s="1"/>
      <c r="W112" s="1"/>
      <c r="X112" s="1"/>
      <c r="Y112" s="1"/>
    </row>
    <row r="113" spans="1:25" ht="15.75" customHeight="1" x14ac:dyDescent="0.35">
      <c r="A113" s="28" t="s">
        <v>153</v>
      </c>
      <c r="B113" s="28" t="s">
        <v>54</v>
      </c>
      <c r="C113" s="28" t="s">
        <v>26</v>
      </c>
      <c r="D113" s="28" t="s">
        <v>44</v>
      </c>
      <c r="E113" s="28">
        <v>47</v>
      </c>
      <c r="F113" s="28">
        <v>1000</v>
      </c>
      <c r="G113" s="28">
        <v>20</v>
      </c>
      <c r="H113" s="28" t="s">
        <v>24</v>
      </c>
      <c r="I113" s="29">
        <v>45003</v>
      </c>
      <c r="J113" s="28">
        <f t="shared" si="11"/>
        <v>37600</v>
      </c>
      <c r="K113" s="28">
        <f t="shared" si="12"/>
        <v>5640</v>
      </c>
      <c r="L113" s="28">
        <f t="shared" si="13"/>
        <v>47000</v>
      </c>
      <c r="M113" s="28">
        <f t="shared" si="14"/>
        <v>18</v>
      </c>
      <c r="N113" s="28">
        <f t="shared" si="15"/>
        <v>3</v>
      </c>
      <c r="O113" s="28">
        <f t="shared" si="16"/>
        <v>2023</v>
      </c>
      <c r="P113" s="28" t="str">
        <f t="shared" si="17"/>
        <v>High Price</v>
      </c>
      <c r="Q113" s="28" t="str">
        <f t="shared" si="18"/>
        <v>Good</v>
      </c>
      <c r="R113" s="28" t="str">
        <f t="shared" si="19"/>
        <v>High Discount</v>
      </c>
      <c r="S113" s="28" t="str">
        <f t="shared" si="20"/>
        <v>No Review Needed</v>
      </c>
      <c r="T113" s="28" t="str">
        <f t="shared" si="21"/>
        <v>No</v>
      </c>
      <c r="U113" s="1"/>
      <c r="V113" s="1"/>
      <c r="W113" s="1"/>
      <c r="X113" s="1"/>
      <c r="Y113" s="1"/>
    </row>
    <row r="114" spans="1:25" ht="15.75" customHeight="1" x14ac:dyDescent="0.35">
      <c r="A114" s="28" t="s">
        <v>154</v>
      </c>
      <c r="B114" s="28" t="s">
        <v>34</v>
      </c>
      <c r="C114" s="28" t="s">
        <v>22</v>
      </c>
      <c r="D114" s="28" t="s">
        <v>23</v>
      </c>
      <c r="E114" s="28">
        <v>4</v>
      </c>
      <c r="F114" s="28">
        <v>2000</v>
      </c>
      <c r="G114" s="28">
        <v>10</v>
      </c>
      <c r="H114" s="28" t="s">
        <v>32</v>
      </c>
      <c r="I114" s="29">
        <v>45278</v>
      </c>
      <c r="J114" s="28">
        <f t="shared" si="11"/>
        <v>7200</v>
      </c>
      <c r="K114" s="28">
        <f t="shared" si="12"/>
        <v>1080</v>
      </c>
      <c r="L114" s="28">
        <f t="shared" si="13"/>
        <v>8000</v>
      </c>
      <c r="M114" s="28">
        <f t="shared" si="14"/>
        <v>18</v>
      </c>
      <c r="N114" s="28">
        <f t="shared" si="15"/>
        <v>12</v>
      </c>
      <c r="O114" s="28">
        <f t="shared" si="16"/>
        <v>2023</v>
      </c>
      <c r="P114" s="28" t="str">
        <f t="shared" si="17"/>
        <v>High Price</v>
      </c>
      <c r="Q114" s="28" t="str">
        <f t="shared" si="18"/>
        <v>Bad</v>
      </c>
      <c r="R114" s="28" t="str">
        <f t="shared" si="19"/>
        <v>Low Discont</v>
      </c>
      <c r="S114" s="28" t="str">
        <f t="shared" si="20"/>
        <v>Low Priority Review</v>
      </c>
      <c r="T114" s="28" t="str">
        <f t="shared" si="21"/>
        <v>So</v>
      </c>
      <c r="U114" s="1"/>
      <c r="V114" s="1"/>
      <c r="W114" s="1"/>
      <c r="X114" s="1"/>
      <c r="Y114" s="1"/>
    </row>
    <row r="115" spans="1:25" ht="15.75" customHeight="1" x14ac:dyDescent="0.35">
      <c r="A115" s="28" t="s">
        <v>155</v>
      </c>
      <c r="B115" s="28" t="s">
        <v>34</v>
      </c>
      <c r="C115" s="28" t="s">
        <v>37</v>
      </c>
      <c r="D115" s="28" t="s">
        <v>41</v>
      </c>
      <c r="E115" s="28">
        <v>4</v>
      </c>
      <c r="F115" s="28">
        <v>2000</v>
      </c>
      <c r="G115" s="28">
        <v>5</v>
      </c>
      <c r="H115" s="28" t="s">
        <v>24</v>
      </c>
      <c r="I115" s="29">
        <v>44945</v>
      </c>
      <c r="J115" s="28">
        <f t="shared" si="11"/>
        <v>7600</v>
      </c>
      <c r="K115" s="28">
        <f t="shared" si="12"/>
        <v>1140</v>
      </c>
      <c r="L115" s="28">
        <f t="shared" si="13"/>
        <v>8000</v>
      </c>
      <c r="M115" s="28">
        <f t="shared" si="14"/>
        <v>19</v>
      </c>
      <c r="N115" s="28">
        <f t="shared" si="15"/>
        <v>1</v>
      </c>
      <c r="O115" s="28">
        <f t="shared" si="16"/>
        <v>2023</v>
      </c>
      <c r="P115" s="28" t="str">
        <f t="shared" si="17"/>
        <v>High Price</v>
      </c>
      <c r="Q115" s="28" t="str">
        <f t="shared" si="18"/>
        <v>Bad</v>
      </c>
      <c r="R115" s="28" t="str">
        <f t="shared" si="19"/>
        <v>Low Discont</v>
      </c>
      <c r="S115" s="28" t="str">
        <f t="shared" si="20"/>
        <v>No Review Needed</v>
      </c>
      <c r="T115" s="28" t="str">
        <f t="shared" si="21"/>
        <v>Ea</v>
      </c>
      <c r="U115" s="1"/>
      <c r="V115" s="1"/>
      <c r="W115" s="1"/>
      <c r="X115" s="1"/>
      <c r="Y115" s="1"/>
    </row>
    <row r="116" spans="1:25" ht="15.75" customHeight="1" x14ac:dyDescent="0.35">
      <c r="A116" s="28" t="s">
        <v>156</v>
      </c>
      <c r="B116" s="28" t="s">
        <v>39</v>
      </c>
      <c r="C116" s="28" t="s">
        <v>22</v>
      </c>
      <c r="D116" s="28" t="s">
        <v>77</v>
      </c>
      <c r="E116" s="28">
        <v>18</v>
      </c>
      <c r="F116" s="28">
        <v>250</v>
      </c>
      <c r="G116" s="28">
        <v>0</v>
      </c>
      <c r="H116" s="28" t="s">
        <v>32</v>
      </c>
      <c r="I116" s="29">
        <v>45004</v>
      </c>
      <c r="J116" s="28">
        <f t="shared" si="11"/>
        <v>4500</v>
      </c>
      <c r="K116" s="28">
        <f t="shared" si="12"/>
        <v>675</v>
      </c>
      <c r="L116" s="28">
        <f t="shared" si="13"/>
        <v>4500</v>
      </c>
      <c r="M116" s="28">
        <f t="shared" si="14"/>
        <v>19</v>
      </c>
      <c r="N116" s="28">
        <f t="shared" si="15"/>
        <v>3</v>
      </c>
      <c r="O116" s="28">
        <f t="shared" si="16"/>
        <v>2023</v>
      </c>
      <c r="P116" s="28" t="str">
        <f t="shared" si="17"/>
        <v>Low Price</v>
      </c>
      <c r="Q116" s="28" t="str">
        <f t="shared" si="18"/>
        <v>Bad</v>
      </c>
      <c r="R116" s="28" t="str">
        <f t="shared" si="19"/>
        <v>No Discount</v>
      </c>
      <c r="S116" s="28" t="str">
        <f t="shared" si="20"/>
        <v>Low Priority Review</v>
      </c>
      <c r="T116" s="28" t="str">
        <f t="shared" si="21"/>
        <v>So</v>
      </c>
      <c r="U116" s="1"/>
      <c r="V116" s="1"/>
      <c r="W116" s="1"/>
      <c r="X116" s="1"/>
      <c r="Y116" s="1"/>
    </row>
    <row r="117" spans="1:25" ht="15.75" customHeight="1" x14ac:dyDescent="0.35">
      <c r="A117" s="28" t="s">
        <v>157</v>
      </c>
      <c r="B117" s="28" t="s">
        <v>21</v>
      </c>
      <c r="C117" s="28" t="s">
        <v>22</v>
      </c>
      <c r="D117" s="28" t="s">
        <v>23</v>
      </c>
      <c r="E117" s="28">
        <v>27</v>
      </c>
      <c r="F117" s="28">
        <v>500</v>
      </c>
      <c r="G117" s="28">
        <v>5</v>
      </c>
      <c r="H117" s="28" t="s">
        <v>24</v>
      </c>
      <c r="I117" s="29">
        <v>45126</v>
      </c>
      <c r="J117" s="28">
        <f t="shared" si="11"/>
        <v>12825</v>
      </c>
      <c r="K117" s="28">
        <f t="shared" si="12"/>
        <v>1923.75</v>
      </c>
      <c r="L117" s="28">
        <f t="shared" si="13"/>
        <v>13500</v>
      </c>
      <c r="M117" s="28">
        <f t="shared" si="14"/>
        <v>19</v>
      </c>
      <c r="N117" s="28">
        <f t="shared" si="15"/>
        <v>7</v>
      </c>
      <c r="O117" s="28">
        <f t="shared" si="16"/>
        <v>2023</v>
      </c>
      <c r="P117" s="28" t="str">
        <f t="shared" si="17"/>
        <v>High Price</v>
      </c>
      <c r="Q117" s="28" t="str">
        <f t="shared" si="18"/>
        <v>Bad</v>
      </c>
      <c r="R117" s="28" t="str">
        <f t="shared" si="19"/>
        <v>Low Discont</v>
      </c>
      <c r="S117" s="28" t="str">
        <f t="shared" si="20"/>
        <v>No Review Needed</v>
      </c>
      <c r="T117" s="28" t="str">
        <f t="shared" si="21"/>
        <v>So</v>
      </c>
      <c r="U117" s="1"/>
      <c r="V117" s="1"/>
      <c r="W117" s="1"/>
      <c r="X117" s="1"/>
      <c r="Y117" s="1"/>
    </row>
    <row r="118" spans="1:25" ht="15.75" customHeight="1" x14ac:dyDescent="0.35">
      <c r="A118" s="28" t="s">
        <v>158</v>
      </c>
      <c r="B118" s="28" t="s">
        <v>43</v>
      </c>
      <c r="C118" s="28" t="s">
        <v>30</v>
      </c>
      <c r="D118" s="28" t="s">
        <v>31</v>
      </c>
      <c r="E118" s="28">
        <v>18</v>
      </c>
      <c r="F118" s="28">
        <v>1750</v>
      </c>
      <c r="G118" s="28">
        <v>15</v>
      </c>
      <c r="H118" s="28" t="s">
        <v>32</v>
      </c>
      <c r="I118" s="29">
        <v>45126</v>
      </c>
      <c r="J118" s="28">
        <f t="shared" si="11"/>
        <v>26775</v>
      </c>
      <c r="K118" s="28">
        <f t="shared" si="12"/>
        <v>4016.25</v>
      </c>
      <c r="L118" s="28">
        <f t="shared" si="13"/>
        <v>31500</v>
      </c>
      <c r="M118" s="28">
        <f t="shared" si="14"/>
        <v>19</v>
      </c>
      <c r="N118" s="28">
        <f t="shared" si="15"/>
        <v>7</v>
      </c>
      <c r="O118" s="28">
        <f t="shared" si="16"/>
        <v>2023</v>
      </c>
      <c r="P118" s="28" t="str">
        <f t="shared" si="17"/>
        <v>High Price</v>
      </c>
      <c r="Q118" s="28" t="str">
        <f t="shared" si="18"/>
        <v>Good</v>
      </c>
      <c r="R118" s="28" t="str">
        <f t="shared" si="19"/>
        <v>High Discount</v>
      </c>
      <c r="S118" s="28" t="str">
        <f t="shared" si="20"/>
        <v>High Priority Review</v>
      </c>
      <c r="T118" s="28" t="str">
        <f t="shared" si="21"/>
        <v>We</v>
      </c>
      <c r="U118" s="1"/>
      <c r="V118" s="1"/>
      <c r="W118" s="1"/>
      <c r="X118" s="1"/>
      <c r="Y118" s="1"/>
    </row>
    <row r="119" spans="1:25" ht="15.75" customHeight="1" x14ac:dyDescent="0.35">
      <c r="A119" s="28" t="s">
        <v>159</v>
      </c>
      <c r="B119" s="28" t="s">
        <v>29</v>
      </c>
      <c r="C119" s="28" t="s">
        <v>22</v>
      </c>
      <c r="D119" s="28" t="s">
        <v>77</v>
      </c>
      <c r="E119" s="28">
        <v>10</v>
      </c>
      <c r="F119" s="28">
        <v>5000</v>
      </c>
      <c r="G119" s="28">
        <v>20</v>
      </c>
      <c r="H119" s="28" t="s">
        <v>32</v>
      </c>
      <c r="I119" s="29">
        <v>45126</v>
      </c>
      <c r="J119" s="28">
        <f t="shared" si="11"/>
        <v>40000</v>
      </c>
      <c r="K119" s="28">
        <f t="shared" si="12"/>
        <v>6000</v>
      </c>
      <c r="L119" s="28">
        <f t="shared" si="13"/>
        <v>50000</v>
      </c>
      <c r="M119" s="28">
        <f t="shared" si="14"/>
        <v>19</v>
      </c>
      <c r="N119" s="28">
        <f t="shared" si="15"/>
        <v>7</v>
      </c>
      <c r="O119" s="28">
        <f t="shared" si="16"/>
        <v>2023</v>
      </c>
      <c r="P119" s="28" t="str">
        <f t="shared" si="17"/>
        <v>High Price</v>
      </c>
      <c r="Q119" s="28" t="str">
        <f t="shared" si="18"/>
        <v>Good</v>
      </c>
      <c r="R119" s="28" t="str">
        <f t="shared" si="19"/>
        <v>High Discount</v>
      </c>
      <c r="S119" s="28" t="str">
        <f t="shared" si="20"/>
        <v>High Priority Review</v>
      </c>
      <c r="T119" s="28" t="str">
        <f t="shared" si="21"/>
        <v>So</v>
      </c>
      <c r="U119" s="1"/>
      <c r="V119" s="1"/>
      <c r="W119" s="1"/>
      <c r="X119" s="1"/>
      <c r="Y119" s="1"/>
    </row>
    <row r="120" spans="1:25" ht="15.75" customHeight="1" x14ac:dyDescent="0.35">
      <c r="A120" s="28" t="s">
        <v>160</v>
      </c>
      <c r="B120" s="28" t="s">
        <v>34</v>
      </c>
      <c r="C120" s="28" t="s">
        <v>30</v>
      </c>
      <c r="D120" s="28" t="s">
        <v>74</v>
      </c>
      <c r="E120" s="28">
        <v>3</v>
      </c>
      <c r="F120" s="28">
        <v>2000</v>
      </c>
      <c r="G120" s="28">
        <v>0</v>
      </c>
      <c r="H120" s="28" t="s">
        <v>24</v>
      </c>
      <c r="I120" s="29">
        <v>45157</v>
      </c>
      <c r="J120" s="28">
        <f t="shared" si="11"/>
        <v>6000</v>
      </c>
      <c r="K120" s="28">
        <f t="shared" si="12"/>
        <v>900</v>
      </c>
      <c r="L120" s="28">
        <f t="shared" si="13"/>
        <v>6000</v>
      </c>
      <c r="M120" s="28">
        <f t="shared" si="14"/>
        <v>19</v>
      </c>
      <c r="N120" s="28">
        <f t="shared" si="15"/>
        <v>8</v>
      </c>
      <c r="O120" s="28">
        <f t="shared" si="16"/>
        <v>2023</v>
      </c>
      <c r="P120" s="28" t="str">
        <f t="shared" si="17"/>
        <v>High Price</v>
      </c>
      <c r="Q120" s="28" t="str">
        <f t="shared" si="18"/>
        <v>Bad</v>
      </c>
      <c r="R120" s="28" t="str">
        <f t="shared" si="19"/>
        <v>No Discount</v>
      </c>
      <c r="S120" s="28" t="str">
        <f t="shared" si="20"/>
        <v>No Review Needed</v>
      </c>
      <c r="T120" s="28" t="str">
        <f t="shared" si="21"/>
        <v>We</v>
      </c>
      <c r="U120" s="1"/>
      <c r="V120" s="1"/>
      <c r="W120" s="1"/>
      <c r="X120" s="1"/>
      <c r="Y120" s="1"/>
    </row>
    <row r="121" spans="1:25" ht="15.75" customHeight="1" x14ac:dyDescent="0.35">
      <c r="A121" s="28" t="s">
        <v>161</v>
      </c>
      <c r="B121" s="28" t="s">
        <v>54</v>
      </c>
      <c r="C121" s="28" t="s">
        <v>37</v>
      </c>
      <c r="D121" s="28" t="s">
        <v>41</v>
      </c>
      <c r="E121" s="28">
        <v>24</v>
      </c>
      <c r="F121" s="28">
        <v>1000</v>
      </c>
      <c r="G121" s="28">
        <v>15</v>
      </c>
      <c r="H121" s="28" t="s">
        <v>32</v>
      </c>
      <c r="I121" s="29">
        <v>45218</v>
      </c>
      <c r="J121" s="28">
        <f t="shared" si="11"/>
        <v>20400</v>
      </c>
      <c r="K121" s="28">
        <f t="shared" si="12"/>
        <v>3060</v>
      </c>
      <c r="L121" s="28">
        <f t="shared" si="13"/>
        <v>24000</v>
      </c>
      <c r="M121" s="28">
        <f t="shared" si="14"/>
        <v>19</v>
      </c>
      <c r="N121" s="28">
        <f t="shared" si="15"/>
        <v>10</v>
      </c>
      <c r="O121" s="28">
        <f t="shared" si="16"/>
        <v>2023</v>
      </c>
      <c r="P121" s="28" t="str">
        <f t="shared" si="17"/>
        <v>High Price</v>
      </c>
      <c r="Q121" s="28" t="str">
        <f t="shared" si="18"/>
        <v>Good</v>
      </c>
      <c r="R121" s="28" t="str">
        <f t="shared" si="19"/>
        <v>High Discount</v>
      </c>
      <c r="S121" s="28" t="str">
        <f t="shared" si="20"/>
        <v>High Priority Review</v>
      </c>
      <c r="T121" s="28" t="str">
        <f t="shared" si="21"/>
        <v>Ea</v>
      </c>
      <c r="U121" s="1"/>
      <c r="V121" s="1"/>
      <c r="W121" s="1"/>
      <c r="X121" s="1"/>
      <c r="Y121" s="1"/>
    </row>
    <row r="122" spans="1:25" ht="15.75" customHeight="1" x14ac:dyDescent="0.35">
      <c r="A122" s="28" t="s">
        <v>162</v>
      </c>
      <c r="B122" s="28" t="s">
        <v>43</v>
      </c>
      <c r="C122" s="28" t="s">
        <v>22</v>
      </c>
      <c r="D122" s="28" t="s">
        <v>77</v>
      </c>
      <c r="E122" s="28">
        <v>11</v>
      </c>
      <c r="F122" s="28">
        <v>1750</v>
      </c>
      <c r="G122" s="28">
        <v>15</v>
      </c>
      <c r="H122" s="28" t="s">
        <v>24</v>
      </c>
      <c r="I122" s="29">
        <v>45279</v>
      </c>
      <c r="J122" s="28">
        <f t="shared" si="11"/>
        <v>16362.5</v>
      </c>
      <c r="K122" s="28">
        <f t="shared" si="12"/>
        <v>2454.38</v>
      </c>
      <c r="L122" s="28">
        <f t="shared" si="13"/>
        <v>19250</v>
      </c>
      <c r="M122" s="28">
        <f t="shared" si="14"/>
        <v>19</v>
      </c>
      <c r="N122" s="28">
        <f t="shared" si="15"/>
        <v>12</v>
      </c>
      <c r="O122" s="28">
        <f t="shared" si="16"/>
        <v>2023</v>
      </c>
      <c r="P122" s="28" t="str">
        <f t="shared" si="17"/>
        <v>High Price</v>
      </c>
      <c r="Q122" s="28" t="str">
        <f t="shared" si="18"/>
        <v>Bad</v>
      </c>
      <c r="R122" s="28" t="str">
        <f t="shared" si="19"/>
        <v>High Discount</v>
      </c>
      <c r="S122" s="28" t="str">
        <f t="shared" si="20"/>
        <v>No Review Needed</v>
      </c>
      <c r="T122" s="28" t="str">
        <f t="shared" si="21"/>
        <v>So</v>
      </c>
      <c r="U122" s="1"/>
      <c r="V122" s="1"/>
      <c r="W122" s="1"/>
      <c r="X122" s="1"/>
      <c r="Y122" s="1"/>
    </row>
    <row r="123" spans="1:25" ht="15.75" customHeight="1" x14ac:dyDescent="0.35">
      <c r="A123" s="28" t="s">
        <v>163</v>
      </c>
      <c r="B123" s="28" t="s">
        <v>21</v>
      </c>
      <c r="C123" s="28" t="s">
        <v>37</v>
      </c>
      <c r="D123" s="28" t="s">
        <v>47</v>
      </c>
      <c r="E123" s="28">
        <v>8</v>
      </c>
      <c r="F123" s="28">
        <v>500</v>
      </c>
      <c r="G123" s="28">
        <v>5</v>
      </c>
      <c r="H123" s="28" t="s">
        <v>24</v>
      </c>
      <c r="I123" s="29">
        <v>44946</v>
      </c>
      <c r="J123" s="28">
        <f t="shared" si="11"/>
        <v>3800</v>
      </c>
      <c r="K123" s="28">
        <f t="shared" si="12"/>
        <v>570</v>
      </c>
      <c r="L123" s="28">
        <f t="shared" si="13"/>
        <v>4000</v>
      </c>
      <c r="M123" s="28">
        <f t="shared" si="14"/>
        <v>20</v>
      </c>
      <c r="N123" s="28">
        <f t="shared" si="15"/>
        <v>1</v>
      </c>
      <c r="O123" s="28">
        <f t="shared" si="16"/>
        <v>2023</v>
      </c>
      <c r="P123" s="28" t="str">
        <f t="shared" si="17"/>
        <v>High Price</v>
      </c>
      <c r="Q123" s="28" t="str">
        <f t="shared" si="18"/>
        <v>Bad</v>
      </c>
      <c r="R123" s="28" t="str">
        <f t="shared" si="19"/>
        <v>Low Discont</v>
      </c>
      <c r="S123" s="28" t="str">
        <f t="shared" si="20"/>
        <v>No Review Needed</v>
      </c>
      <c r="T123" s="28" t="str">
        <f t="shared" si="21"/>
        <v>Ea</v>
      </c>
      <c r="U123" s="1"/>
      <c r="V123" s="1"/>
      <c r="W123" s="1"/>
      <c r="X123" s="1"/>
      <c r="Y123" s="1"/>
    </row>
    <row r="124" spans="1:25" ht="15.75" customHeight="1" x14ac:dyDescent="0.35">
      <c r="A124" s="28" t="s">
        <v>164</v>
      </c>
      <c r="B124" s="28" t="s">
        <v>29</v>
      </c>
      <c r="C124" s="28" t="s">
        <v>37</v>
      </c>
      <c r="D124" s="28" t="s">
        <v>41</v>
      </c>
      <c r="E124" s="28">
        <v>3</v>
      </c>
      <c r="F124" s="28">
        <v>5000</v>
      </c>
      <c r="G124" s="28">
        <v>10</v>
      </c>
      <c r="H124" s="28" t="s">
        <v>24</v>
      </c>
      <c r="I124" s="29">
        <v>45005</v>
      </c>
      <c r="J124" s="28">
        <f t="shared" si="11"/>
        <v>13500</v>
      </c>
      <c r="K124" s="28">
        <f t="shared" si="12"/>
        <v>2025</v>
      </c>
      <c r="L124" s="28">
        <f t="shared" si="13"/>
        <v>15000</v>
      </c>
      <c r="M124" s="28">
        <f t="shared" si="14"/>
        <v>20</v>
      </c>
      <c r="N124" s="28">
        <f t="shared" si="15"/>
        <v>3</v>
      </c>
      <c r="O124" s="28">
        <f t="shared" si="16"/>
        <v>2023</v>
      </c>
      <c r="P124" s="28" t="str">
        <f t="shared" si="17"/>
        <v>High Price</v>
      </c>
      <c r="Q124" s="28" t="str">
        <f t="shared" si="18"/>
        <v>Bad</v>
      </c>
      <c r="R124" s="28" t="str">
        <f t="shared" si="19"/>
        <v>Low Discont</v>
      </c>
      <c r="S124" s="28" t="str">
        <f t="shared" si="20"/>
        <v>No Review Needed</v>
      </c>
      <c r="T124" s="28" t="str">
        <f t="shared" si="21"/>
        <v>Ea</v>
      </c>
      <c r="U124" s="1"/>
      <c r="V124" s="1"/>
      <c r="W124" s="1"/>
      <c r="X124" s="1"/>
      <c r="Y124" s="1"/>
    </row>
    <row r="125" spans="1:25" ht="15.75" customHeight="1" x14ac:dyDescent="0.35">
      <c r="A125" s="28" t="s">
        <v>165</v>
      </c>
      <c r="B125" s="28" t="s">
        <v>29</v>
      </c>
      <c r="C125" s="28" t="s">
        <v>30</v>
      </c>
      <c r="D125" s="28" t="s">
        <v>74</v>
      </c>
      <c r="E125" s="28">
        <v>6</v>
      </c>
      <c r="F125" s="28">
        <v>5000</v>
      </c>
      <c r="G125" s="28">
        <v>5</v>
      </c>
      <c r="H125" s="28" t="s">
        <v>24</v>
      </c>
      <c r="I125" s="29">
        <v>45005</v>
      </c>
      <c r="J125" s="28">
        <f t="shared" si="11"/>
        <v>28500</v>
      </c>
      <c r="K125" s="28">
        <f t="shared" si="12"/>
        <v>4275</v>
      </c>
      <c r="L125" s="28">
        <f t="shared" si="13"/>
        <v>30000</v>
      </c>
      <c r="M125" s="28">
        <f t="shared" si="14"/>
        <v>20</v>
      </c>
      <c r="N125" s="28">
        <f t="shared" si="15"/>
        <v>3</v>
      </c>
      <c r="O125" s="28">
        <f t="shared" si="16"/>
        <v>2023</v>
      </c>
      <c r="P125" s="28" t="str">
        <f t="shared" si="17"/>
        <v>High Price</v>
      </c>
      <c r="Q125" s="28" t="str">
        <f t="shared" si="18"/>
        <v>Good</v>
      </c>
      <c r="R125" s="28" t="str">
        <f t="shared" si="19"/>
        <v>Low Discont</v>
      </c>
      <c r="S125" s="28" t="str">
        <f t="shared" si="20"/>
        <v>No Review Needed</v>
      </c>
      <c r="T125" s="28" t="str">
        <f t="shared" si="21"/>
        <v>We</v>
      </c>
      <c r="U125" s="1"/>
      <c r="V125" s="1"/>
      <c r="W125" s="1"/>
      <c r="X125" s="1"/>
      <c r="Y125" s="1"/>
    </row>
    <row r="126" spans="1:25" ht="15.75" customHeight="1" x14ac:dyDescent="0.35">
      <c r="A126" s="28" t="s">
        <v>166</v>
      </c>
      <c r="B126" s="28" t="s">
        <v>29</v>
      </c>
      <c r="C126" s="28" t="s">
        <v>30</v>
      </c>
      <c r="D126" s="28" t="s">
        <v>74</v>
      </c>
      <c r="E126" s="28">
        <v>6</v>
      </c>
      <c r="F126" s="28">
        <v>5000</v>
      </c>
      <c r="G126" s="28">
        <v>10</v>
      </c>
      <c r="H126" s="28" t="s">
        <v>32</v>
      </c>
      <c r="I126" s="29">
        <v>45036</v>
      </c>
      <c r="J126" s="28">
        <f t="shared" si="11"/>
        <v>27000</v>
      </c>
      <c r="K126" s="28">
        <f t="shared" si="12"/>
        <v>4050</v>
      </c>
      <c r="L126" s="28">
        <f t="shared" si="13"/>
        <v>30000</v>
      </c>
      <c r="M126" s="28">
        <f t="shared" si="14"/>
        <v>20</v>
      </c>
      <c r="N126" s="28">
        <f t="shared" si="15"/>
        <v>4</v>
      </c>
      <c r="O126" s="28">
        <f t="shared" si="16"/>
        <v>2023</v>
      </c>
      <c r="P126" s="28" t="str">
        <f t="shared" si="17"/>
        <v>High Price</v>
      </c>
      <c r="Q126" s="28" t="str">
        <f t="shared" si="18"/>
        <v>Good</v>
      </c>
      <c r="R126" s="28" t="str">
        <f t="shared" si="19"/>
        <v>Low Discont</v>
      </c>
      <c r="S126" s="28" t="str">
        <f t="shared" si="20"/>
        <v>Low Priority Review</v>
      </c>
      <c r="T126" s="28" t="str">
        <f t="shared" si="21"/>
        <v>We</v>
      </c>
      <c r="U126" s="1"/>
      <c r="V126" s="1"/>
      <c r="W126" s="1"/>
      <c r="X126" s="1"/>
      <c r="Y126" s="1"/>
    </row>
    <row r="127" spans="1:25" ht="15.75" customHeight="1" x14ac:dyDescent="0.35">
      <c r="A127" s="28" t="s">
        <v>167</v>
      </c>
      <c r="B127" s="28" t="s">
        <v>54</v>
      </c>
      <c r="C127" s="28" t="s">
        <v>22</v>
      </c>
      <c r="D127" s="28" t="s">
        <v>77</v>
      </c>
      <c r="E127" s="28">
        <v>30</v>
      </c>
      <c r="F127" s="28">
        <v>1000</v>
      </c>
      <c r="G127" s="28">
        <v>10</v>
      </c>
      <c r="H127" s="28" t="s">
        <v>24</v>
      </c>
      <c r="I127" s="29">
        <v>45066</v>
      </c>
      <c r="J127" s="28">
        <f t="shared" si="11"/>
        <v>27000</v>
      </c>
      <c r="K127" s="28">
        <f t="shared" si="12"/>
        <v>4050</v>
      </c>
      <c r="L127" s="28">
        <f t="shared" si="13"/>
        <v>30000</v>
      </c>
      <c r="M127" s="28">
        <f t="shared" si="14"/>
        <v>20</v>
      </c>
      <c r="N127" s="28">
        <f t="shared" si="15"/>
        <v>5</v>
      </c>
      <c r="O127" s="28">
        <f t="shared" si="16"/>
        <v>2023</v>
      </c>
      <c r="P127" s="28" t="str">
        <f t="shared" si="17"/>
        <v>High Price</v>
      </c>
      <c r="Q127" s="28" t="str">
        <f t="shared" si="18"/>
        <v>Good</v>
      </c>
      <c r="R127" s="28" t="str">
        <f t="shared" si="19"/>
        <v>Low Discont</v>
      </c>
      <c r="S127" s="28" t="str">
        <f t="shared" si="20"/>
        <v>No Review Needed</v>
      </c>
      <c r="T127" s="28" t="str">
        <f t="shared" si="21"/>
        <v>So</v>
      </c>
      <c r="U127" s="1"/>
      <c r="V127" s="1"/>
      <c r="W127" s="1"/>
      <c r="X127" s="1"/>
      <c r="Y127" s="1"/>
    </row>
    <row r="128" spans="1:25" ht="15.75" customHeight="1" x14ac:dyDescent="0.35">
      <c r="A128" s="28" t="s">
        <v>168</v>
      </c>
      <c r="B128" s="28" t="s">
        <v>21</v>
      </c>
      <c r="C128" s="28" t="s">
        <v>37</v>
      </c>
      <c r="D128" s="28" t="s">
        <v>47</v>
      </c>
      <c r="E128" s="28">
        <v>5</v>
      </c>
      <c r="F128" s="28">
        <v>500</v>
      </c>
      <c r="G128" s="28">
        <v>15</v>
      </c>
      <c r="H128" s="28" t="s">
        <v>24</v>
      </c>
      <c r="I128" s="29">
        <v>45189</v>
      </c>
      <c r="J128" s="28">
        <f t="shared" si="11"/>
        <v>2125</v>
      </c>
      <c r="K128" s="28">
        <f t="shared" si="12"/>
        <v>318.75</v>
      </c>
      <c r="L128" s="28">
        <f t="shared" si="13"/>
        <v>2500</v>
      </c>
      <c r="M128" s="28">
        <f t="shared" si="14"/>
        <v>20</v>
      </c>
      <c r="N128" s="28">
        <f t="shared" si="15"/>
        <v>9</v>
      </c>
      <c r="O128" s="28">
        <f t="shared" si="16"/>
        <v>2023</v>
      </c>
      <c r="P128" s="28" t="str">
        <f t="shared" si="17"/>
        <v>High Price</v>
      </c>
      <c r="Q128" s="28" t="str">
        <f t="shared" si="18"/>
        <v>Bad</v>
      </c>
      <c r="R128" s="28" t="str">
        <f t="shared" si="19"/>
        <v>High Discount</v>
      </c>
      <c r="S128" s="28" t="str">
        <f t="shared" si="20"/>
        <v>No Review Needed</v>
      </c>
      <c r="T128" s="28" t="str">
        <f t="shared" si="21"/>
        <v>Ea</v>
      </c>
      <c r="U128" s="1"/>
      <c r="V128" s="1"/>
      <c r="W128" s="1"/>
      <c r="X128" s="1"/>
      <c r="Y128" s="1"/>
    </row>
    <row r="129" spans="1:25" ht="15.75" customHeight="1" x14ac:dyDescent="0.35">
      <c r="A129" s="28" t="s">
        <v>169</v>
      </c>
      <c r="B129" s="28" t="s">
        <v>29</v>
      </c>
      <c r="C129" s="28" t="s">
        <v>22</v>
      </c>
      <c r="D129" s="28" t="s">
        <v>23</v>
      </c>
      <c r="E129" s="28">
        <v>7</v>
      </c>
      <c r="F129" s="28">
        <v>5000</v>
      </c>
      <c r="G129" s="28">
        <v>0</v>
      </c>
      <c r="H129" s="28" t="s">
        <v>24</v>
      </c>
      <c r="I129" s="29">
        <v>45219</v>
      </c>
      <c r="J129" s="28">
        <f t="shared" si="11"/>
        <v>35000</v>
      </c>
      <c r="K129" s="28">
        <f t="shared" si="12"/>
        <v>5250</v>
      </c>
      <c r="L129" s="28">
        <f t="shared" si="13"/>
        <v>35000</v>
      </c>
      <c r="M129" s="28">
        <f t="shared" si="14"/>
        <v>20</v>
      </c>
      <c r="N129" s="28">
        <f t="shared" si="15"/>
        <v>10</v>
      </c>
      <c r="O129" s="28">
        <f t="shared" si="16"/>
        <v>2023</v>
      </c>
      <c r="P129" s="28" t="str">
        <f t="shared" si="17"/>
        <v>High Price</v>
      </c>
      <c r="Q129" s="28" t="str">
        <f t="shared" si="18"/>
        <v>Good</v>
      </c>
      <c r="R129" s="28" t="str">
        <f t="shared" si="19"/>
        <v>No Discount</v>
      </c>
      <c r="S129" s="28" t="str">
        <f t="shared" si="20"/>
        <v>No Review Needed</v>
      </c>
      <c r="T129" s="28" t="str">
        <f t="shared" si="21"/>
        <v>So</v>
      </c>
      <c r="U129" s="1"/>
      <c r="V129" s="1"/>
      <c r="W129" s="1"/>
      <c r="X129" s="1"/>
      <c r="Y129" s="1"/>
    </row>
    <row r="130" spans="1:25" ht="15.75" customHeight="1" x14ac:dyDescent="0.35">
      <c r="A130" s="28" t="s">
        <v>170</v>
      </c>
      <c r="B130" s="28" t="s">
        <v>34</v>
      </c>
      <c r="C130" s="28" t="s">
        <v>26</v>
      </c>
      <c r="D130" s="28" t="s">
        <v>27</v>
      </c>
      <c r="E130" s="28">
        <v>3</v>
      </c>
      <c r="F130" s="28">
        <v>2000</v>
      </c>
      <c r="G130" s="28">
        <v>15</v>
      </c>
      <c r="H130" s="28" t="s">
        <v>24</v>
      </c>
      <c r="I130" s="29">
        <v>45250</v>
      </c>
      <c r="J130" s="28">
        <f t="shared" si="11"/>
        <v>5100</v>
      </c>
      <c r="K130" s="28">
        <f t="shared" si="12"/>
        <v>765</v>
      </c>
      <c r="L130" s="28">
        <f t="shared" si="13"/>
        <v>6000</v>
      </c>
      <c r="M130" s="28">
        <f t="shared" si="14"/>
        <v>20</v>
      </c>
      <c r="N130" s="28">
        <f t="shared" si="15"/>
        <v>11</v>
      </c>
      <c r="O130" s="28">
        <f t="shared" si="16"/>
        <v>2023</v>
      </c>
      <c r="P130" s="28" t="str">
        <f t="shared" si="17"/>
        <v>High Price</v>
      </c>
      <c r="Q130" s="28" t="str">
        <f t="shared" si="18"/>
        <v>Bad</v>
      </c>
      <c r="R130" s="28" t="str">
        <f t="shared" si="19"/>
        <v>High Discount</v>
      </c>
      <c r="S130" s="28" t="str">
        <f t="shared" si="20"/>
        <v>No Review Needed</v>
      </c>
      <c r="T130" s="28" t="str">
        <f t="shared" si="21"/>
        <v>No</v>
      </c>
      <c r="U130" s="1"/>
      <c r="V130" s="1"/>
      <c r="W130" s="1"/>
      <c r="X130" s="1"/>
      <c r="Y130" s="1"/>
    </row>
    <row r="131" spans="1:25" ht="15.75" customHeight="1" x14ac:dyDescent="0.35">
      <c r="A131" s="28" t="s">
        <v>171</v>
      </c>
      <c r="B131" s="28" t="s">
        <v>34</v>
      </c>
      <c r="C131" s="28" t="s">
        <v>26</v>
      </c>
      <c r="D131" s="28" t="s">
        <v>27</v>
      </c>
      <c r="E131" s="28">
        <v>1</v>
      </c>
      <c r="F131" s="28">
        <v>2000</v>
      </c>
      <c r="G131" s="28">
        <v>15</v>
      </c>
      <c r="H131" s="28" t="s">
        <v>24</v>
      </c>
      <c r="I131" s="29">
        <v>45250</v>
      </c>
      <c r="J131" s="28">
        <f t="shared" ref="J131:J194" si="22">E131*F131*(1-G131/100)</f>
        <v>1700</v>
      </c>
      <c r="K131" s="28">
        <f t="shared" ref="K131:K194" si="23">ROUND(J131*15%,2)</f>
        <v>255</v>
      </c>
      <c r="L131" s="28">
        <f t="shared" ref="L131:L194" si="24">E131*F131</f>
        <v>2000</v>
      </c>
      <c r="M131" s="28">
        <f t="shared" ref="M131:M194" si="25">DAY(I131)</f>
        <v>20</v>
      </c>
      <c r="N131" s="28">
        <f t="shared" ref="N131:N194" si="26">MONTH(I131)</f>
        <v>11</v>
      </c>
      <c r="O131" s="28">
        <f t="shared" ref="O131:O194" si="27">YEAR(I131)</f>
        <v>2023</v>
      </c>
      <c r="P131" s="28" t="str">
        <f t="shared" ref="P131:P194" si="28">IF(F131&lt;500,"Low Price","High Price")</f>
        <v>High Price</v>
      </c>
      <c r="Q131" s="28" t="str">
        <f t="shared" ref="Q131:Q194" si="29">IF(J131&gt;=AVERAGE(J:J),"Good","Bad")</f>
        <v>Bad</v>
      </c>
      <c r="R131" s="28" t="str">
        <f t="shared" ref="R131:R194" si="30">IF(G131&gt;10,"High Discount",IF(G131=0,"No Discount","Low Discont"))</f>
        <v>High Discount</v>
      </c>
      <c r="S131" s="28" t="str">
        <f t="shared" ref="S131:S194" si="31">IF(AND(H131="Yes",G131&gt;10),"High Priority Review",IF(H131="Yes","Low Priority Review","No Review Needed"))</f>
        <v>No Review Needed</v>
      </c>
      <c r="T131" s="28" t="str">
        <f t="shared" ref="T131:T194" si="32">LEFT(C131,2)</f>
        <v>No</v>
      </c>
      <c r="U131" s="1"/>
      <c r="V131" s="1"/>
      <c r="W131" s="1"/>
      <c r="X131" s="1"/>
      <c r="Y131" s="1"/>
    </row>
    <row r="132" spans="1:25" ht="15.75" customHeight="1" x14ac:dyDescent="0.35">
      <c r="A132" s="28" t="s">
        <v>172</v>
      </c>
      <c r="B132" s="28" t="s">
        <v>21</v>
      </c>
      <c r="C132" s="28" t="s">
        <v>30</v>
      </c>
      <c r="D132" s="28" t="s">
        <v>74</v>
      </c>
      <c r="E132" s="28">
        <v>11</v>
      </c>
      <c r="F132" s="28">
        <v>500</v>
      </c>
      <c r="G132" s="28">
        <v>20</v>
      </c>
      <c r="H132" s="28" t="s">
        <v>24</v>
      </c>
      <c r="I132" s="29">
        <v>45280</v>
      </c>
      <c r="J132" s="28">
        <f t="shared" si="22"/>
        <v>4400</v>
      </c>
      <c r="K132" s="28">
        <f t="shared" si="23"/>
        <v>660</v>
      </c>
      <c r="L132" s="28">
        <f t="shared" si="24"/>
        <v>5500</v>
      </c>
      <c r="M132" s="28">
        <f t="shared" si="25"/>
        <v>20</v>
      </c>
      <c r="N132" s="28">
        <f t="shared" si="26"/>
        <v>12</v>
      </c>
      <c r="O132" s="28">
        <f t="shared" si="27"/>
        <v>2023</v>
      </c>
      <c r="P132" s="28" t="str">
        <f t="shared" si="28"/>
        <v>High Price</v>
      </c>
      <c r="Q132" s="28" t="str">
        <f t="shared" si="29"/>
        <v>Bad</v>
      </c>
      <c r="R132" s="28" t="str">
        <f t="shared" si="30"/>
        <v>High Discount</v>
      </c>
      <c r="S132" s="28" t="str">
        <f t="shared" si="31"/>
        <v>No Review Needed</v>
      </c>
      <c r="T132" s="28" t="str">
        <f t="shared" si="32"/>
        <v>We</v>
      </c>
      <c r="U132" s="1"/>
      <c r="V132" s="1"/>
      <c r="W132" s="1"/>
      <c r="X132" s="1"/>
      <c r="Y132" s="1"/>
    </row>
    <row r="133" spans="1:25" ht="15.75" customHeight="1" x14ac:dyDescent="0.35">
      <c r="A133" s="28" t="s">
        <v>173</v>
      </c>
      <c r="B133" s="28" t="s">
        <v>43</v>
      </c>
      <c r="C133" s="28" t="s">
        <v>22</v>
      </c>
      <c r="D133" s="28" t="s">
        <v>77</v>
      </c>
      <c r="E133" s="28">
        <v>48</v>
      </c>
      <c r="F133" s="28">
        <v>1750</v>
      </c>
      <c r="G133" s="28">
        <v>5</v>
      </c>
      <c r="H133" s="28" t="s">
        <v>32</v>
      </c>
      <c r="I133" s="29">
        <v>45037</v>
      </c>
      <c r="J133" s="28">
        <f t="shared" si="22"/>
        <v>79800</v>
      </c>
      <c r="K133" s="28">
        <f t="shared" si="23"/>
        <v>11970</v>
      </c>
      <c r="L133" s="28">
        <f t="shared" si="24"/>
        <v>84000</v>
      </c>
      <c r="M133" s="28">
        <f t="shared" si="25"/>
        <v>21</v>
      </c>
      <c r="N133" s="28">
        <f t="shared" si="26"/>
        <v>4</v>
      </c>
      <c r="O133" s="28">
        <f t="shared" si="27"/>
        <v>2023</v>
      </c>
      <c r="P133" s="28" t="str">
        <f t="shared" si="28"/>
        <v>High Price</v>
      </c>
      <c r="Q133" s="28" t="str">
        <f t="shared" si="29"/>
        <v>Good</v>
      </c>
      <c r="R133" s="28" t="str">
        <f t="shared" si="30"/>
        <v>Low Discont</v>
      </c>
      <c r="S133" s="28" t="str">
        <f t="shared" si="31"/>
        <v>Low Priority Review</v>
      </c>
      <c r="T133" s="28" t="str">
        <f t="shared" si="32"/>
        <v>So</v>
      </c>
      <c r="U133" s="1"/>
      <c r="V133" s="1"/>
      <c r="W133" s="1"/>
      <c r="X133" s="1"/>
      <c r="Y133" s="1"/>
    </row>
    <row r="134" spans="1:25" ht="15.75" customHeight="1" x14ac:dyDescent="0.35">
      <c r="A134" s="28" t="s">
        <v>174</v>
      </c>
      <c r="B134" s="28" t="s">
        <v>34</v>
      </c>
      <c r="C134" s="28" t="s">
        <v>26</v>
      </c>
      <c r="D134" s="28" t="s">
        <v>44</v>
      </c>
      <c r="E134" s="28">
        <v>2</v>
      </c>
      <c r="F134" s="28">
        <v>2000</v>
      </c>
      <c r="G134" s="28">
        <v>20</v>
      </c>
      <c r="H134" s="28" t="s">
        <v>32</v>
      </c>
      <c r="I134" s="29">
        <v>45067</v>
      </c>
      <c r="J134" s="28">
        <f t="shared" si="22"/>
        <v>3200</v>
      </c>
      <c r="K134" s="28">
        <f t="shared" si="23"/>
        <v>480</v>
      </c>
      <c r="L134" s="28">
        <f t="shared" si="24"/>
        <v>4000</v>
      </c>
      <c r="M134" s="28">
        <f t="shared" si="25"/>
        <v>21</v>
      </c>
      <c r="N134" s="28">
        <f t="shared" si="26"/>
        <v>5</v>
      </c>
      <c r="O134" s="28">
        <f t="shared" si="27"/>
        <v>2023</v>
      </c>
      <c r="P134" s="28" t="str">
        <f t="shared" si="28"/>
        <v>High Price</v>
      </c>
      <c r="Q134" s="28" t="str">
        <f t="shared" si="29"/>
        <v>Bad</v>
      </c>
      <c r="R134" s="28" t="str">
        <f t="shared" si="30"/>
        <v>High Discount</v>
      </c>
      <c r="S134" s="28" t="str">
        <f t="shared" si="31"/>
        <v>High Priority Review</v>
      </c>
      <c r="T134" s="28" t="str">
        <f t="shared" si="32"/>
        <v>No</v>
      </c>
      <c r="U134" s="1"/>
      <c r="V134" s="1"/>
      <c r="W134" s="1"/>
      <c r="X134" s="1"/>
      <c r="Y134" s="1"/>
    </row>
    <row r="135" spans="1:25" ht="15.75" customHeight="1" x14ac:dyDescent="0.35">
      <c r="A135" s="28" t="s">
        <v>175</v>
      </c>
      <c r="B135" s="28" t="s">
        <v>34</v>
      </c>
      <c r="C135" s="28" t="s">
        <v>26</v>
      </c>
      <c r="D135" s="28" t="s">
        <v>27</v>
      </c>
      <c r="E135" s="28">
        <v>5</v>
      </c>
      <c r="F135" s="28">
        <v>2000</v>
      </c>
      <c r="G135" s="28">
        <v>20</v>
      </c>
      <c r="H135" s="28" t="s">
        <v>32</v>
      </c>
      <c r="I135" s="29">
        <v>45128</v>
      </c>
      <c r="J135" s="28">
        <f t="shared" si="22"/>
        <v>8000</v>
      </c>
      <c r="K135" s="28">
        <f t="shared" si="23"/>
        <v>1200</v>
      </c>
      <c r="L135" s="28">
        <f t="shared" si="24"/>
        <v>10000</v>
      </c>
      <c r="M135" s="28">
        <f t="shared" si="25"/>
        <v>21</v>
      </c>
      <c r="N135" s="28">
        <f t="shared" si="26"/>
        <v>7</v>
      </c>
      <c r="O135" s="28">
        <f t="shared" si="27"/>
        <v>2023</v>
      </c>
      <c r="P135" s="28" t="str">
        <f t="shared" si="28"/>
        <v>High Price</v>
      </c>
      <c r="Q135" s="28" t="str">
        <f t="shared" si="29"/>
        <v>Bad</v>
      </c>
      <c r="R135" s="28" t="str">
        <f t="shared" si="30"/>
        <v>High Discount</v>
      </c>
      <c r="S135" s="28" t="str">
        <f t="shared" si="31"/>
        <v>High Priority Review</v>
      </c>
      <c r="T135" s="28" t="str">
        <f t="shared" si="32"/>
        <v>No</v>
      </c>
      <c r="U135" s="1"/>
      <c r="V135" s="1"/>
      <c r="W135" s="1"/>
      <c r="X135" s="1"/>
      <c r="Y135" s="1"/>
    </row>
    <row r="136" spans="1:25" ht="15.75" customHeight="1" x14ac:dyDescent="0.35">
      <c r="A136" s="28" t="s">
        <v>176</v>
      </c>
      <c r="B136" s="28" t="s">
        <v>21</v>
      </c>
      <c r="C136" s="28" t="s">
        <v>22</v>
      </c>
      <c r="D136" s="28" t="s">
        <v>77</v>
      </c>
      <c r="E136" s="28">
        <v>26</v>
      </c>
      <c r="F136" s="28">
        <v>500</v>
      </c>
      <c r="G136" s="28">
        <v>10</v>
      </c>
      <c r="H136" s="28" t="s">
        <v>32</v>
      </c>
      <c r="I136" s="29">
        <v>45159</v>
      </c>
      <c r="J136" s="28">
        <f t="shared" si="22"/>
        <v>11700</v>
      </c>
      <c r="K136" s="28">
        <f t="shared" si="23"/>
        <v>1755</v>
      </c>
      <c r="L136" s="28">
        <f t="shared" si="24"/>
        <v>13000</v>
      </c>
      <c r="M136" s="28">
        <f t="shared" si="25"/>
        <v>21</v>
      </c>
      <c r="N136" s="28">
        <f t="shared" si="26"/>
        <v>8</v>
      </c>
      <c r="O136" s="28">
        <f t="shared" si="27"/>
        <v>2023</v>
      </c>
      <c r="P136" s="28" t="str">
        <f t="shared" si="28"/>
        <v>High Price</v>
      </c>
      <c r="Q136" s="28" t="str">
        <f t="shared" si="29"/>
        <v>Bad</v>
      </c>
      <c r="R136" s="28" t="str">
        <f t="shared" si="30"/>
        <v>Low Discont</v>
      </c>
      <c r="S136" s="28" t="str">
        <f t="shared" si="31"/>
        <v>Low Priority Review</v>
      </c>
      <c r="T136" s="28" t="str">
        <f t="shared" si="32"/>
        <v>So</v>
      </c>
      <c r="U136" s="1"/>
      <c r="V136" s="1"/>
      <c r="W136" s="1"/>
      <c r="X136" s="1"/>
      <c r="Y136" s="1"/>
    </row>
    <row r="137" spans="1:25" ht="15.75" customHeight="1" x14ac:dyDescent="0.35">
      <c r="A137" s="28" t="s">
        <v>177</v>
      </c>
      <c r="B137" s="28" t="s">
        <v>34</v>
      </c>
      <c r="C137" s="28" t="s">
        <v>37</v>
      </c>
      <c r="D137" s="28" t="s">
        <v>47</v>
      </c>
      <c r="E137" s="28">
        <v>5</v>
      </c>
      <c r="F137" s="28">
        <v>2000</v>
      </c>
      <c r="G137" s="28">
        <v>5</v>
      </c>
      <c r="H137" s="28" t="s">
        <v>32</v>
      </c>
      <c r="I137" s="29">
        <v>45159</v>
      </c>
      <c r="J137" s="28">
        <f t="shared" si="22"/>
        <v>9500</v>
      </c>
      <c r="K137" s="28">
        <f t="shared" si="23"/>
        <v>1425</v>
      </c>
      <c r="L137" s="28">
        <f t="shared" si="24"/>
        <v>10000</v>
      </c>
      <c r="M137" s="28">
        <f t="shared" si="25"/>
        <v>21</v>
      </c>
      <c r="N137" s="28">
        <f t="shared" si="26"/>
        <v>8</v>
      </c>
      <c r="O137" s="28">
        <f t="shared" si="27"/>
        <v>2023</v>
      </c>
      <c r="P137" s="28" t="str">
        <f t="shared" si="28"/>
        <v>High Price</v>
      </c>
      <c r="Q137" s="28" t="str">
        <f t="shared" si="29"/>
        <v>Bad</v>
      </c>
      <c r="R137" s="28" t="str">
        <f t="shared" si="30"/>
        <v>Low Discont</v>
      </c>
      <c r="S137" s="28" t="str">
        <f t="shared" si="31"/>
        <v>Low Priority Review</v>
      </c>
      <c r="T137" s="28" t="str">
        <f t="shared" si="32"/>
        <v>Ea</v>
      </c>
      <c r="U137" s="1"/>
      <c r="V137" s="1"/>
      <c r="W137" s="1"/>
      <c r="X137" s="1"/>
      <c r="Y137" s="1"/>
    </row>
    <row r="138" spans="1:25" ht="15.75" customHeight="1" x14ac:dyDescent="0.35">
      <c r="A138" s="28" t="s">
        <v>178</v>
      </c>
      <c r="B138" s="28" t="s">
        <v>36</v>
      </c>
      <c r="C138" s="28" t="s">
        <v>30</v>
      </c>
      <c r="D138" s="28" t="s">
        <v>74</v>
      </c>
      <c r="E138" s="28">
        <v>4</v>
      </c>
      <c r="F138" s="28">
        <v>750</v>
      </c>
      <c r="G138" s="28">
        <v>5</v>
      </c>
      <c r="H138" s="28" t="s">
        <v>24</v>
      </c>
      <c r="I138" s="29">
        <v>45190</v>
      </c>
      <c r="J138" s="28">
        <f t="shared" si="22"/>
        <v>2850</v>
      </c>
      <c r="K138" s="28">
        <f t="shared" si="23"/>
        <v>427.5</v>
      </c>
      <c r="L138" s="28">
        <f t="shared" si="24"/>
        <v>3000</v>
      </c>
      <c r="M138" s="28">
        <f t="shared" si="25"/>
        <v>21</v>
      </c>
      <c r="N138" s="28">
        <f t="shared" si="26"/>
        <v>9</v>
      </c>
      <c r="O138" s="28">
        <f t="shared" si="27"/>
        <v>2023</v>
      </c>
      <c r="P138" s="28" t="str">
        <f t="shared" si="28"/>
        <v>High Price</v>
      </c>
      <c r="Q138" s="28" t="str">
        <f t="shared" si="29"/>
        <v>Bad</v>
      </c>
      <c r="R138" s="28" t="str">
        <f t="shared" si="30"/>
        <v>Low Discont</v>
      </c>
      <c r="S138" s="28" t="str">
        <f t="shared" si="31"/>
        <v>No Review Needed</v>
      </c>
      <c r="T138" s="28" t="str">
        <f t="shared" si="32"/>
        <v>We</v>
      </c>
      <c r="U138" s="1"/>
      <c r="V138" s="1"/>
      <c r="W138" s="1"/>
      <c r="X138" s="1"/>
      <c r="Y138" s="1"/>
    </row>
    <row r="139" spans="1:25" ht="15.75" customHeight="1" x14ac:dyDescent="0.35">
      <c r="A139" s="28" t="s">
        <v>179</v>
      </c>
      <c r="B139" s="28" t="s">
        <v>39</v>
      </c>
      <c r="C139" s="28" t="s">
        <v>37</v>
      </c>
      <c r="D139" s="28" t="s">
        <v>47</v>
      </c>
      <c r="E139" s="28">
        <v>22</v>
      </c>
      <c r="F139" s="28">
        <v>250</v>
      </c>
      <c r="G139" s="28">
        <v>5</v>
      </c>
      <c r="H139" s="28" t="s">
        <v>24</v>
      </c>
      <c r="I139" s="29">
        <v>45281</v>
      </c>
      <c r="J139" s="28">
        <f t="shared" si="22"/>
        <v>5225</v>
      </c>
      <c r="K139" s="28">
        <f t="shared" si="23"/>
        <v>783.75</v>
      </c>
      <c r="L139" s="28">
        <f t="shared" si="24"/>
        <v>5500</v>
      </c>
      <c r="M139" s="28">
        <f t="shared" si="25"/>
        <v>21</v>
      </c>
      <c r="N139" s="28">
        <f t="shared" si="26"/>
        <v>12</v>
      </c>
      <c r="O139" s="28">
        <f t="shared" si="27"/>
        <v>2023</v>
      </c>
      <c r="P139" s="28" t="str">
        <f t="shared" si="28"/>
        <v>Low Price</v>
      </c>
      <c r="Q139" s="28" t="str">
        <f t="shared" si="29"/>
        <v>Bad</v>
      </c>
      <c r="R139" s="28" t="str">
        <f t="shared" si="30"/>
        <v>Low Discont</v>
      </c>
      <c r="S139" s="28" t="str">
        <f t="shared" si="31"/>
        <v>No Review Needed</v>
      </c>
      <c r="T139" s="28" t="str">
        <f t="shared" si="32"/>
        <v>Ea</v>
      </c>
      <c r="U139" s="1"/>
      <c r="V139" s="1"/>
      <c r="W139" s="1"/>
      <c r="X139" s="1"/>
      <c r="Y139" s="1"/>
    </row>
    <row r="140" spans="1:25" ht="15.75" customHeight="1" x14ac:dyDescent="0.35">
      <c r="A140" s="28" t="s">
        <v>180</v>
      </c>
      <c r="B140" s="28" t="s">
        <v>43</v>
      </c>
      <c r="C140" s="28" t="s">
        <v>22</v>
      </c>
      <c r="D140" s="28" t="s">
        <v>23</v>
      </c>
      <c r="E140" s="28">
        <v>33</v>
      </c>
      <c r="F140" s="28">
        <v>1750</v>
      </c>
      <c r="G140" s="28">
        <v>0</v>
      </c>
      <c r="H140" s="28" t="s">
        <v>24</v>
      </c>
      <c r="I140" s="29">
        <v>44979</v>
      </c>
      <c r="J140" s="28">
        <f t="shared" si="22"/>
        <v>57750</v>
      </c>
      <c r="K140" s="28">
        <f t="shared" si="23"/>
        <v>8662.5</v>
      </c>
      <c r="L140" s="28">
        <f t="shared" si="24"/>
        <v>57750</v>
      </c>
      <c r="M140" s="28">
        <f t="shared" si="25"/>
        <v>22</v>
      </c>
      <c r="N140" s="28">
        <f t="shared" si="26"/>
        <v>2</v>
      </c>
      <c r="O140" s="28">
        <f t="shared" si="27"/>
        <v>2023</v>
      </c>
      <c r="P140" s="28" t="str">
        <f t="shared" si="28"/>
        <v>High Price</v>
      </c>
      <c r="Q140" s="28" t="str">
        <f t="shared" si="29"/>
        <v>Good</v>
      </c>
      <c r="R140" s="28" t="str">
        <f t="shared" si="30"/>
        <v>No Discount</v>
      </c>
      <c r="S140" s="28" t="str">
        <f t="shared" si="31"/>
        <v>No Review Needed</v>
      </c>
      <c r="T140" s="28" t="str">
        <f t="shared" si="32"/>
        <v>So</v>
      </c>
      <c r="U140" s="1"/>
      <c r="V140" s="1"/>
      <c r="W140" s="1"/>
      <c r="X140" s="1"/>
      <c r="Y140" s="1"/>
    </row>
    <row r="141" spans="1:25" ht="15.75" customHeight="1" x14ac:dyDescent="0.35">
      <c r="A141" s="28" t="s">
        <v>181</v>
      </c>
      <c r="B141" s="28" t="s">
        <v>57</v>
      </c>
      <c r="C141" s="28" t="s">
        <v>30</v>
      </c>
      <c r="D141" s="28" t="s">
        <v>31</v>
      </c>
      <c r="E141" s="28">
        <v>8</v>
      </c>
      <c r="F141" s="28">
        <v>3000</v>
      </c>
      <c r="G141" s="28">
        <v>10</v>
      </c>
      <c r="H141" s="28" t="s">
        <v>32</v>
      </c>
      <c r="I141" s="29">
        <v>45007</v>
      </c>
      <c r="J141" s="28">
        <f t="shared" si="22"/>
        <v>21600</v>
      </c>
      <c r="K141" s="28">
        <f t="shared" si="23"/>
        <v>3240</v>
      </c>
      <c r="L141" s="28">
        <f t="shared" si="24"/>
        <v>24000</v>
      </c>
      <c r="M141" s="28">
        <f t="shared" si="25"/>
        <v>22</v>
      </c>
      <c r="N141" s="28">
        <f t="shared" si="26"/>
        <v>3</v>
      </c>
      <c r="O141" s="28">
        <f t="shared" si="27"/>
        <v>2023</v>
      </c>
      <c r="P141" s="28" t="str">
        <f t="shared" si="28"/>
        <v>High Price</v>
      </c>
      <c r="Q141" s="28" t="str">
        <f t="shared" si="29"/>
        <v>Good</v>
      </c>
      <c r="R141" s="28" t="str">
        <f t="shared" si="30"/>
        <v>Low Discont</v>
      </c>
      <c r="S141" s="28" t="str">
        <f t="shared" si="31"/>
        <v>Low Priority Review</v>
      </c>
      <c r="T141" s="28" t="str">
        <f t="shared" si="32"/>
        <v>We</v>
      </c>
      <c r="U141" s="1"/>
      <c r="V141" s="1"/>
      <c r="W141" s="1"/>
      <c r="X141" s="1"/>
      <c r="Y141" s="1"/>
    </row>
    <row r="142" spans="1:25" ht="15.75" customHeight="1" x14ac:dyDescent="0.35">
      <c r="A142" s="28" t="s">
        <v>182</v>
      </c>
      <c r="B142" s="28" t="s">
        <v>57</v>
      </c>
      <c r="C142" s="28" t="s">
        <v>30</v>
      </c>
      <c r="D142" s="28" t="s">
        <v>31</v>
      </c>
      <c r="E142" s="28">
        <v>22</v>
      </c>
      <c r="F142" s="28">
        <v>3000</v>
      </c>
      <c r="G142" s="28">
        <v>15</v>
      </c>
      <c r="H142" s="28" t="s">
        <v>24</v>
      </c>
      <c r="I142" s="29">
        <v>45007</v>
      </c>
      <c r="J142" s="28">
        <f t="shared" si="22"/>
        <v>56100</v>
      </c>
      <c r="K142" s="28">
        <f t="shared" si="23"/>
        <v>8415</v>
      </c>
      <c r="L142" s="28">
        <f t="shared" si="24"/>
        <v>66000</v>
      </c>
      <c r="M142" s="28">
        <f t="shared" si="25"/>
        <v>22</v>
      </c>
      <c r="N142" s="28">
        <f t="shared" si="26"/>
        <v>3</v>
      </c>
      <c r="O142" s="28">
        <f t="shared" si="27"/>
        <v>2023</v>
      </c>
      <c r="P142" s="28" t="str">
        <f t="shared" si="28"/>
        <v>High Price</v>
      </c>
      <c r="Q142" s="28" t="str">
        <f t="shared" si="29"/>
        <v>Good</v>
      </c>
      <c r="R142" s="28" t="str">
        <f t="shared" si="30"/>
        <v>High Discount</v>
      </c>
      <c r="S142" s="28" t="str">
        <f t="shared" si="31"/>
        <v>No Review Needed</v>
      </c>
      <c r="T142" s="28" t="str">
        <f t="shared" si="32"/>
        <v>We</v>
      </c>
      <c r="U142" s="1"/>
      <c r="V142" s="1"/>
      <c r="W142" s="1"/>
      <c r="X142" s="1"/>
      <c r="Y142" s="1"/>
    </row>
    <row r="143" spans="1:25" ht="15.75" customHeight="1" x14ac:dyDescent="0.35">
      <c r="A143" s="28" t="s">
        <v>183</v>
      </c>
      <c r="B143" s="28" t="s">
        <v>43</v>
      </c>
      <c r="C143" s="28" t="s">
        <v>26</v>
      </c>
      <c r="D143" s="28" t="s">
        <v>44</v>
      </c>
      <c r="E143" s="28">
        <v>29</v>
      </c>
      <c r="F143" s="28">
        <v>1750</v>
      </c>
      <c r="G143" s="28">
        <v>15</v>
      </c>
      <c r="H143" s="28" t="s">
        <v>24</v>
      </c>
      <c r="I143" s="29">
        <v>45099</v>
      </c>
      <c r="J143" s="28">
        <f t="shared" si="22"/>
        <v>43137.5</v>
      </c>
      <c r="K143" s="28">
        <f t="shared" si="23"/>
        <v>6470.63</v>
      </c>
      <c r="L143" s="28">
        <f t="shared" si="24"/>
        <v>50750</v>
      </c>
      <c r="M143" s="28">
        <f t="shared" si="25"/>
        <v>22</v>
      </c>
      <c r="N143" s="28">
        <f t="shared" si="26"/>
        <v>6</v>
      </c>
      <c r="O143" s="28">
        <f t="shared" si="27"/>
        <v>2023</v>
      </c>
      <c r="P143" s="28" t="str">
        <f t="shared" si="28"/>
        <v>High Price</v>
      </c>
      <c r="Q143" s="28" t="str">
        <f t="shared" si="29"/>
        <v>Good</v>
      </c>
      <c r="R143" s="28" t="str">
        <f t="shared" si="30"/>
        <v>High Discount</v>
      </c>
      <c r="S143" s="28" t="str">
        <f t="shared" si="31"/>
        <v>No Review Needed</v>
      </c>
      <c r="T143" s="28" t="str">
        <f t="shared" si="32"/>
        <v>No</v>
      </c>
      <c r="U143" s="1"/>
      <c r="V143" s="1"/>
      <c r="W143" s="1"/>
      <c r="X143" s="1"/>
      <c r="Y143" s="1"/>
    </row>
    <row r="144" spans="1:25" ht="15.75" customHeight="1" x14ac:dyDescent="0.35">
      <c r="A144" s="28" t="s">
        <v>184</v>
      </c>
      <c r="B144" s="28" t="s">
        <v>43</v>
      </c>
      <c r="C144" s="28" t="s">
        <v>37</v>
      </c>
      <c r="D144" s="28" t="s">
        <v>47</v>
      </c>
      <c r="E144" s="28">
        <v>3</v>
      </c>
      <c r="F144" s="28">
        <v>1750</v>
      </c>
      <c r="G144" s="28">
        <v>15</v>
      </c>
      <c r="H144" s="28" t="s">
        <v>32</v>
      </c>
      <c r="I144" s="29">
        <v>45160</v>
      </c>
      <c r="J144" s="28">
        <f t="shared" si="22"/>
        <v>4462.5</v>
      </c>
      <c r="K144" s="28">
        <f t="shared" si="23"/>
        <v>669.38</v>
      </c>
      <c r="L144" s="28">
        <f t="shared" si="24"/>
        <v>5250</v>
      </c>
      <c r="M144" s="28">
        <f t="shared" si="25"/>
        <v>22</v>
      </c>
      <c r="N144" s="28">
        <f t="shared" si="26"/>
        <v>8</v>
      </c>
      <c r="O144" s="28">
        <f t="shared" si="27"/>
        <v>2023</v>
      </c>
      <c r="P144" s="28" t="str">
        <f t="shared" si="28"/>
        <v>High Price</v>
      </c>
      <c r="Q144" s="28" t="str">
        <f t="shared" si="29"/>
        <v>Bad</v>
      </c>
      <c r="R144" s="28" t="str">
        <f t="shared" si="30"/>
        <v>High Discount</v>
      </c>
      <c r="S144" s="28" t="str">
        <f t="shared" si="31"/>
        <v>High Priority Review</v>
      </c>
      <c r="T144" s="28" t="str">
        <f t="shared" si="32"/>
        <v>Ea</v>
      </c>
      <c r="U144" s="1"/>
      <c r="V144" s="1"/>
      <c r="W144" s="1"/>
      <c r="X144" s="1"/>
      <c r="Y144" s="1"/>
    </row>
    <row r="145" spans="1:25" ht="15.75" customHeight="1" x14ac:dyDescent="0.35">
      <c r="A145" s="28" t="s">
        <v>185</v>
      </c>
      <c r="B145" s="28" t="s">
        <v>39</v>
      </c>
      <c r="C145" s="28" t="s">
        <v>30</v>
      </c>
      <c r="D145" s="28" t="s">
        <v>74</v>
      </c>
      <c r="E145" s="28">
        <v>19</v>
      </c>
      <c r="F145" s="28">
        <v>250</v>
      </c>
      <c r="G145" s="28">
        <v>20</v>
      </c>
      <c r="H145" s="28" t="s">
        <v>24</v>
      </c>
      <c r="I145" s="29">
        <v>45160</v>
      </c>
      <c r="J145" s="28">
        <f t="shared" si="22"/>
        <v>3800</v>
      </c>
      <c r="K145" s="28">
        <f t="shared" si="23"/>
        <v>570</v>
      </c>
      <c r="L145" s="28">
        <f t="shared" si="24"/>
        <v>4750</v>
      </c>
      <c r="M145" s="28">
        <f t="shared" si="25"/>
        <v>22</v>
      </c>
      <c r="N145" s="28">
        <f t="shared" si="26"/>
        <v>8</v>
      </c>
      <c r="O145" s="28">
        <f t="shared" si="27"/>
        <v>2023</v>
      </c>
      <c r="P145" s="28" t="str">
        <f t="shared" si="28"/>
        <v>Low Price</v>
      </c>
      <c r="Q145" s="28" t="str">
        <f t="shared" si="29"/>
        <v>Bad</v>
      </c>
      <c r="R145" s="28" t="str">
        <f t="shared" si="30"/>
        <v>High Discount</v>
      </c>
      <c r="S145" s="28" t="str">
        <f t="shared" si="31"/>
        <v>No Review Needed</v>
      </c>
      <c r="T145" s="28" t="str">
        <f t="shared" si="32"/>
        <v>We</v>
      </c>
      <c r="U145" s="1"/>
      <c r="V145" s="1"/>
      <c r="W145" s="1"/>
      <c r="X145" s="1"/>
      <c r="Y145" s="1"/>
    </row>
    <row r="146" spans="1:25" ht="15.75" customHeight="1" x14ac:dyDescent="0.35">
      <c r="A146" s="28" t="s">
        <v>186</v>
      </c>
      <c r="B146" s="28" t="s">
        <v>21</v>
      </c>
      <c r="C146" s="28" t="s">
        <v>22</v>
      </c>
      <c r="D146" s="28" t="s">
        <v>77</v>
      </c>
      <c r="E146" s="28">
        <v>16</v>
      </c>
      <c r="F146" s="28">
        <v>500</v>
      </c>
      <c r="G146" s="28">
        <v>20</v>
      </c>
      <c r="H146" s="28" t="s">
        <v>24</v>
      </c>
      <c r="I146" s="29">
        <v>45221</v>
      </c>
      <c r="J146" s="28">
        <f t="shared" si="22"/>
        <v>6400</v>
      </c>
      <c r="K146" s="28">
        <f t="shared" si="23"/>
        <v>960</v>
      </c>
      <c r="L146" s="28">
        <f t="shared" si="24"/>
        <v>8000</v>
      </c>
      <c r="M146" s="28">
        <f t="shared" si="25"/>
        <v>22</v>
      </c>
      <c r="N146" s="28">
        <f t="shared" si="26"/>
        <v>10</v>
      </c>
      <c r="O146" s="28">
        <f t="shared" si="27"/>
        <v>2023</v>
      </c>
      <c r="P146" s="28" t="str">
        <f t="shared" si="28"/>
        <v>High Price</v>
      </c>
      <c r="Q146" s="28" t="str">
        <f t="shared" si="29"/>
        <v>Bad</v>
      </c>
      <c r="R146" s="28" t="str">
        <f t="shared" si="30"/>
        <v>High Discount</v>
      </c>
      <c r="S146" s="28" t="str">
        <f t="shared" si="31"/>
        <v>No Review Needed</v>
      </c>
      <c r="T146" s="28" t="str">
        <f t="shared" si="32"/>
        <v>So</v>
      </c>
      <c r="U146" s="1"/>
      <c r="V146" s="1"/>
      <c r="W146" s="1"/>
      <c r="X146" s="1"/>
      <c r="Y146" s="1"/>
    </row>
    <row r="147" spans="1:25" ht="15.75" customHeight="1" x14ac:dyDescent="0.35">
      <c r="A147" s="28" t="s">
        <v>187</v>
      </c>
      <c r="B147" s="28" t="s">
        <v>34</v>
      </c>
      <c r="C147" s="28" t="s">
        <v>30</v>
      </c>
      <c r="D147" s="28" t="s">
        <v>31</v>
      </c>
      <c r="E147" s="28">
        <v>5</v>
      </c>
      <c r="F147" s="28">
        <v>2000</v>
      </c>
      <c r="G147" s="28">
        <v>5</v>
      </c>
      <c r="H147" s="28" t="s">
        <v>24</v>
      </c>
      <c r="I147" s="29">
        <v>44949</v>
      </c>
      <c r="J147" s="28">
        <f t="shared" si="22"/>
        <v>9500</v>
      </c>
      <c r="K147" s="28">
        <f t="shared" si="23"/>
        <v>1425</v>
      </c>
      <c r="L147" s="28">
        <f t="shared" si="24"/>
        <v>10000</v>
      </c>
      <c r="M147" s="28">
        <f t="shared" si="25"/>
        <v>23</v>
      </c>
      <c r="N147" s="28">
        <f t="shared" si="26"/>
        <v>1</v>
      </c>
      <c r="O147" s="28">
        <f t="shared" si="27"/>
        <v>2023</v>
      </c>
      <c r="P147" s="28" t="str">
        <f t="shared" si="28"/>
        <v>High Price</v>
      </c>
      <c r="Q147" s="28" t="str">
        <f t="shared" si="29"/>
        <v>Bad</v>
      </c>
      <c r="R147" s="28" t="str">
        <f t="shared" si="30"/>
        <v>Low Discont</v>
      </c>
      <c r="S147" s="28" t="str">
        <f t="shared" si="31"/>
        <v>No Review Needed</v>
      </c>
      <c r="T147" s="28" t="str">
        <f t="shared" si="32"/>
        <v>We</v>
      </c>
      <c r="U147" s="1"/>
      <c r="V147" s="1"/>
      <c r="W147" s="1"/>
      <c r="X147" s="1"/>
      <c r="Y147" s="1"/>
    </row>
    <row r="148" spans="1:25" ht="15.75" customHeight="1" x14ac:dyDescent="0.35">
      <c r="A148" s="28" t="s">
        <v>188</v>
      </c>
      <c r="B148" s="28" t="s">
        <v>34</v>
      </c>
      <c r="C148" s="28" t="s">
        <v>22</v>
      </c>
      <c r="D148" s="28" t="s">
        <v>77</v>
      </c>
      <c r="E148" s="28">
        <v>2</v>
      </c>
      <c r="F148" s="28">
        <v>2000</v>
      </c>
      <c r="G148" s="28">
        <v>10</v>
      </c>
      <c r="H148" s="28" t="s">
        <v>32</v>
      </c>
      <c r="I148" s="29">
        <v>44949</v>
      </c>
      <c r="J148" s="28">
        <f t="shared" si="22"/>
        <v>3600</v>
      </c>
      <c r="K148" s="28">
        <f t="shared" si="23"/>
        <v>540</v>
      </c>
      <c r="L148" s="28">
        <f t="shared" si="24"/>
        <v>4000</v>
      </c>
      <c r="M148" s="28">
        <f t="shared" si="25"/>
        <v>23</v>
      </c>
      <c r="N148" s="28">
        <f t="shared" si="26"/>
        <v>1</v>
      </c>
      <c r="O148" s="28">
        <f t="shared" si="27"/>
        <v>2023</v>
      </c>
      <c r="P148" s="28" t="str">
        <f t="shared" si="28"/>
        <v>High Price</v>
      </c>
      <c r="Q148" s="28" t="str">
        <f t="shared" si="29"/>
        <v>Bad</v>
      </c>
      <c r="R148" s="28" t="str">
        <f t="shared" si="30"/>
        <v>Low Discont</v>
      </c>
      <c r="S148" s="28" t="str">
        <f t="shared" si="31"/>
        <v>Low Priority Review</v>
      </c>
      <c r="T148" s="28" t="str">
        <f t="shared" si="32"/>
        <v>So</v>
      </c>
      <c r="U148" s="1"/>
      <c r="V148" s="1"/>
      <c r="W148" s="1"/>
      <c r="X148" s="1"/>
      <c r="Y148" s="1"/>
    </row>
    <row r="149" spans="1:25" ht="15.75" customHeight="1" x14ac:dyDescent="0.35">
      <c r="A149" s="28" t="s">
        <v>189</v>
      </c>
      <c r="B149" s="28" t="s">
        <v>57</v>
      </c>
      <c r="C149" s="28" t="s">
        <v>26</v>
      </c>
      <c r="D149" s="28" t="s">
        <v>44</v>
      </c>
      <c r="E149" s="28">
        <v>21</v>
      </c>
      <c r="F149" s="28">
        <v>3000</v>
      </c>
      <c r="G149" s="28">
        <v>5</v>
      </c>
      <c r="H149" s="28" t="s">
        <v>24</v>
      </c>
      <c r="I149" s="29">
        <v>45039</v>
      </c>
      <c r="J149" s="28">
        <f t="shared" si="22"/>
        <v>59850</v>
      </c>
      <c r="K149" s="28">
        <f t="shared" si="23"/>
        <v>8977.5</v>
      </c>
      <c r="L149" s="28">
        <f t="shared" si="24"/>
        <v>63000</v>
      </c>
      <c r="M149" s="28">
        <f t="shared" si="25"/>
        <v>23</v>
      </c>
      <c r="N149" s="28">
        <f t="shared" si="26"/>
        <v>4</v>
      </c>
      <c r="O149" s="28">
        <f t="shared" si="27"/>
        <v>2023</v>
      </c>
      <c r="P149" s="28" t="str">
        <f t="shared" si="28"/>
        <v>High Price</v>
      </c>
      <c r="Q149" s="28" t="str">
        <f t="shared" si="29"/>
        <v>Good</v>
      </c>
      <c r="R149" s="28" t="str">
        <f t="shared" si="30"/>
        <v>Low Discont</v>
      </c>
      <c r="S149" s="28" t="str">
        <f t="shared" si="31"/>
        <v>No Review Needed</v>
      </c>
      <c r="T149" s="28" t="str">
        <f t="shared" si="32"/>
        <v>No</v>
      </c>
      <c r="U149" s="1"/>
      <c r="V149" s="1"/>
      <c r="W149" s="1"/>
      <c r="X149" s="1"/>
      <c r="Y149" s="1"/>
    </row>
    <row r="150" spans="1:25" ht="15.75" customHeight="1" x14ac:dyDescent="0.35">
      <c r="A150" s="28" t="s">
        <v>190</v>
      </c>
      <c r="B150" s="28" t="s">
        <v>34</v>
      </c>
      <c r="C150" s="28" t="s">
        <v>26</v>
      </c>
      <c r="D150" s="28" t="s">
        <v>27</v>
      </c>
      <c r="E150" s="28">
        <v>4</v>
      </c>
      <c r="F150" s="28">
        <v>2000</v>
      </c>
      <c r="G150" s="28">
        <v>0</v>
      </c>
      <c r="H150" s="28" t="s">
        <v>24</v>
      </c>
      <c r="I150" s="29">
        <v>45130</v>
      </c>
      <c r="J150" s="28">
        <f t="shared" si="22"/>
        <v>8000</v>
      </c>
      <c r="K150" s="28">
        <f t="shared" si="23"/>
        <v>1200</v>
      </c>
      <c r="L150" s="28">
        <f t="shared" si="24"/>
        <v>8000</v>
      </c>
      <c r="M150" s="28">
        <f t="shared" si="25"/>
        <v>23</v>
      </c>
      <c r="N150" s="28">
        <f t="shared" si="26"/>
        <v>7</v>
      </c>
      <c r="O150" s="28">
        <f t="shared" si="27"/>
        <v>2023</v>
      </c>
      <c r="P150" s="28" t="str">
        <f t="shared" si="28"/>
        <v>High Price</v>
      </c>
      <c r="Q150" s="28" t="str">
        <f t="shared" si="29"/>
        <v>Bad</v>
      </c>
      <c r="R150" s="28" t="str">
        <f t="shared" si="30"/>
        <v>No Discount</v>
      </c>
      <c r="S150" s="28" t="str">
        <f t="shared" si="31"/>
        <v>No Review Needed</v>
      </c>
      <c r="T150" s="28" t="str">
        <f t="shared" si="32"/>
        <v>No</v>
      </c>
      <c r="U150" s="1"/>
      <c r="V150" s="1"/>
      <c r="W150" s="1"/>
      <c r="X150" s="1"/>
      <c r="Y150" s="1"/>
    </row>
    <row r="151" spans="1:25" ht="15.75" customHeight="1" x14ac:dyDescent="0.35">
      <c r="A151" s="28" t="s">
        <v>191</v>
      </c>
      <c r="B151" s="28" t="s">
        <v>39</v>
      </c>
      <c r="C151" s="28" t="s">
        <v>30</v>
      </c>
      <c r="D151" s="28" t="s">
        <v>74</v>
      </c>
      <c r="E151" s="28">
        <v>23</v>
      </c>
      <c r="F151" s="28">
        <v>250</v>
      </c>
      <c r="G151" s="28">
        <v>15</v>
      </c>
      <c r="H151" s="28" t="s">
        <v>24</v>
      </c>
      <c r="I151" s="29">
        <v>45192</v>
      </c>
      <c r="J151" s="28">
        <f t="shared" si="22"/>
        <v>4887.5</v>
      </c>
      <c r="K151" s="28">
        <f t="shared" si="23"/>
        <v>733.13</v>
      </c>
      <c r="L151" s="28">
        <f t="shared" si="24"/>
        <v>5750</v>
      </c>
      <c r="M151" s="28">
        <f t="shared" si="25"/>
        <v>23</v>
      </c>
      <c r="N151" s="28">
        <f t="shared" si="26"/>
        <v>9</v>
      </c>
      <c r="O151" s="28">
        <f t="shared" si="27"/>
        <v>2023</v>
      </c>
      <c r="P151" s="28" t="str">
        <f t="shared" si="28"/>
        <v>Low Price</v>
      </c>
      <c r="Q151" s="28" t="str">
        <f t="shared" si="29"/>
        <v>Bad</v>
      </c>
      <c r="R151" s="28" t="str">
        <f t="shared" si="30"/>
        <v>High Discount</v>
      </c>
      <c r="S151" s="28" t="str">
        <f t="shared" si="31"/>
        <v>No Review Needed</v>
      </c>
      <c r="T151" s="28" t="str">
        <f t="shared" si="32"/>
        <v>We</v>
      </c>
      <c r="U151" s="1"/>
      <c r="V151" s="1"/>
      <c r="W151" s="1"/>
      <c r="X151" s="1"/>
      <c r="Y151" s="1"/>
    </row>
    <row r="152" spans="1:25" ht="15.75" customHeight="1" x14ac:dyDescent="0.35">
      <c r="A152" s="28" t="s">
        <v>192</v>
      </c>
      <c r="B152" s="28" t="s">
        <v>36</v>
      </c>
      <c r="C152" s="28" t="s">
        <v>37</v>
      </c>
      <c r="D152" s="28" t="s">
        <v>41</v>
      </c>
      <c r="E152" s="28">
        <v>14</v>
      </c>
      <c r="F152" s="28">
        <v>750</v>
      </c>
      <c r="G152" s="28">
        <v>0</v>
      </c>
      <c r="H152" s="28" t="s">
        <v>32</v>
      </c>
      <c r="I152" s="29">
        <v>45192</v>
      </c>
      <c r="J152" s="28">
        <f t="shared" si="22"/>
        <v>10500</v>
      </c>
      <c r="K152" s="28">
        <f t="shared" si="23"/>
        <v>1575</v>
      </c>
      <c r="L152" s="28">
        <f t="shared" si="24"/>
        <v>10500</v>
      </c>
      <c r="M152" s="28">
        <f t="shared" si="25"/>
        <v>23</v>
      </c>
      <c r="N152" s="28">
        <f t="shared" si="26"/>
        <v>9</v>
      </c>
      <c r="O152" s="28">
        <f t="shared" si="27"/>
        <v>2023</v>
      </c>
      <c r="P152" s="28" t="str">
        <f t="shared" si="28"/>
        <v>High Price</v>
      </c>
      <c r="Q152" s="28" t="str">
        <f t="shared" si="29"/>
        <v>Bad</v>
      </c>
      <c r="R152" s="28" t="str">
        <f t="shared" si="30"/>
        <v>No Discount</v>
      </c>
      <c r="S152" s="28" t="str">
        <f t="shared" si="31"/>
        <v>Low Priority Review</v>
      </c>
      <c r="T152" s="28" t="str">
        <f t="shared" si="32"/>
        <v>Ea</v>
      </c>
      <c r="U152" s="1"/>
      <c r="V152" s="1"/>
      <c r="W152" s="1"/>
      <c r="X152" s="1"/>
      <c r="Y152" s="1"/>
    </row>
    <row r="153" spans="1:25" ht="15.75" customHeight="1" x14ac:dyDescent="0.35">
      <c r="A153" s="28" t="s">
        <v>193</v>
      </c>
      <c r="B153" s="28" t="s">
        <v>36</v>
      </c>
      <c r="C153" s="28" t="s">
        <v>26</v>
      </c>
      <c r="D153" s="28" t="s">
        <v>27</v>
      </c>
      <c r="E153" s="28">
        <v>3</v>
      </c>
      <c r="F153" s="28">
        <v>750</v>
      </c>
      <c r="G153" s="28">
        <v>5</v>
      </c>
      <c r="H153" s="28" t="s">
        <v>24</v>
      </c>
      <c r="I153" s="29">
        <v>45192</v>
      </c>
      <c r="J153" s="28">
        <f t="shared" si="22"/>
        <v>2137.5</v>
      </c>
      <c r="K153" s="28">
        <f t="shared" si="23"/>
        <v>320.63</v>
      </c>
      <c r="L153" s="28">
        <f t="shared" si="24"/>
        <v>2250</v>
      </c>
      <c r="M153" s="28">
        <f t="shared" si="25"/>
        <v>23</v>
      </c>
      <c r="N153" s="28">
        <f t="shared" si="26"/>
        <v>9</v>
      </c>
      <c r="O153" s="28">
        <f t="shared" si="27"/>
        <v>2023</v>
      </c>
      <c r="P153" s="28" t="str">
        <f t="shared" si="28"/>
        <v>High Price</v>
      </c>
      <c r="Q153" s="28" t="str">
        <f t="shared" si="29"/>
        <v>Bad</v>
      </c>
      <c r="R153" s="28" t="str">
        <f t="shared" si="30"/>
        <v>Low Discont</v>
      </c>
      <c r="S153" s="28" t="str">
        <f t="shared" si="31"/>
        <v>No Review Needed</v>
      </c>
      <c r="T153" s="28" t="str">
        <f t="shared" si="32"/>
        <v>No</v>
      </c>
      <c r="U153" s="1"/>
      <c r="V153" s="1"/>
      <c r="W153" s="1"/>
      <c r="X153" s="1"/>
      <c r="Y153" s="1"/>
    </row>
    <row r="154" spans="1:25" ht="15.75" customHeight="1" x14ac:dyDescent="0.35">
      <c r="A154" s="28" t="s">
        <v>194</v>
      </c>
      <c r="B154" s="28" t="s">
        <v>21</v>
      </c>
      <c r="C154" s="28" t="s">
        <v>26</v>
      </c>
      <c r="D154" s="28" t="s">
        <v>44</v>
      </c>
      <c r="E154" s="28">
        <v>39</v>
      </c>
      <c r="F154" s="28">
        <v>500</v>
      </c>
      <c r="G154" s="28">
        <v>10</v>
      </c>
      <c r="H154" s="28" t="s">
        <v>32</v>
      </c>
      <c r="I154" s="29">
        <v>45222</v>
      </c>
      <c r="J154" s="28">
        <f t="shared" si="22"/>
        <v>17550</v>
      </c>
      <c r="K154" s="28">
        <f t="shared" si="23"/>
        <v>2632.5</v>
      </c>
      <c r="L154" s="28">
        <f t="shared" si="24"/>
        <v>19500</v>
      </c>
      <c r="M154" s="28">
        <f t="shared" si="25"/>
        <v>23</v>
      </c>
      <c r="N154" s="28">
        <f t="shared" si="26"/>
        <v>10</v>
      </c>
      <c r="O154" s="28">
        <f t="shared" si="27"/>
        <v>2023</v>
      </c>
      <c r="P154" s="28" t="str">
        <f t="shared" si="28"/>
        <v>High Price</v>
      </c>
      <c r="Q154" s="28" t="str">
        <f t="shared" si="29"/>
        <v>Bad</v>
      </c>
      <c r="R154" s="28" t="str">
        <f t="shared" si="30"/>
        <v>Low Discont</v>
      </c>
      <c r="S154" s="28" t="str">
        <f t="shared" si="31"/>
        <v>Low Priority Review</v>
      </c>
      <c r="T154" s="28" t="str">
        <f t="shared" si="32"/>
        <v>No</v>
      </c>
      <c r="U154" s="1"/>
      <c r="V154" s="1"/>
      <c r="W154" s="1"/>
      <c r="X154" s="1"/>
      <c r="Y154" s="1"/>
    </row>
    <row r="155" spans="1:25" ht="15.75" customHeight="1" x14ac:dyDescent="0.35">
      <c r="A155" s="28" t="s">
        <v>195</v>
      </c>
      <c r="B155" s="28" t="s">
        <v>29</v>
      </c>
      <c r="C155" s="28" t="s">
        <v>26</v>
      </c>
      <c r="D155" s="28" t="s">
        <v>44</v>
      </c>
      <c r="E155" s="28">
        <v>7</v>
      </c>
      <c r="F155" s="28">
        <v>5000</v>
      </c>
      <c r="G155" s="28">
        <v>10</v>
      </c>
      <c r="H155" s="28" t="s">
        <v>24</v>
      </c>
      <c r="I155" s="29">
        <v>45283</v>
      </c>
      <c r="J155" s="28">
        <f t="shared" si="22"/>
        <v>31500</v>
      </c>
      <c r="K155" s="28">
        <f t="shared" si="23"/>
        <v>4725</v>
      </c>
      <c r="L155" s="28">
        <f t="shared" si="24"/>
        <v>35000</v>
      </c>
      <c r="M155" s="28">
        <f t="shared" si="25"/>
        <v>23</v>
      </c>
      <c r="N155" s="28">
        <f t="shared" si="26"/>
        <v>12</v>
      </c>
      <c r="O155" s="28">
        <f t="shared" si="27"/>
        <v>2023</v>
      </c>
      <c r="P155" s="28" t="str">
        <f t="shared" si="28"/>
        <v>High Price</v>
      </c>
      <c r="Q155" s="28" t="str">
        <f t="shared" si="29"/>
        <v>Good</v>
      </c>
      <c r="R155" s="28" t="str">
        <f t="shared" si="30"/>
        <v>Low Discont</v>
      </c>
      <c r="S155" s="28" t="str">
        <f t="shared" si="31"/>
        <v>No Review Needed</v>
      </c>
      <c r="T155" s="28" t="str">
        <f t="shared" si="32"/>
        <v>No</v>
      </c>
      <c r="U155" s="1"/>
      <c r="V155" s="1"/>
      <c r="W155" s="1"/>
      <c r="X155" s="1"/>
      <c r="Y155" s="1"/>
    </row>
    <row r="156" spans="1:25" ht="15.75" customHeight="1" x14ac:dyDescent="0.35">
      <c r="A156" s="28" t="s">
        <v>196</v>
      </c>
      <c r="B156" s="28" t="s">
        <v>29</v>
      </c>
      <c r="C156" s="28" t="s">
        <v>26</v>
      </c>
      <c r="D156" s="28" t="s">
        <v>27</v>
      </c>
      <c r="E156" s="28">
        <v>3</v>
      </c>
      <c r="F156" s="28">
        <v>5000</v>
      </c>
      <c r="G156" s="28">
        <v>10</v>
      </c>
      <c r="H156" s="28" t="s">
        <v>24</v>
      </c>
      <c r="I156" s="29">
        <v>45283</v>
      </c>
      <c r="J156" s="28">
        <f t="shared" si="22"/>
        <v>13500</v>
      </c>
      <c r="K156" s="28">
        <f t="shared" si="23"/>
        <v>2025</v>
      </c>
      <c r="L156" s="28">
        <f t="shared" si="24"/>
        <v>15000</v>
      </c>
      <c r="M156" s="28">
        <f t="shared" si="25"/>
        <v>23</v>
      </c>
      <c r="N156" s="28">
        <f t="shared" si="26"/>
        <v>12</v>
      </c>
      <c r="O156" s="28">
        <f t="shared" si="27"/>
        <v>2023</v>
      </c>
      <c r="P156" s="28" t="str">
        <f t="shared" si="28"/>
        <v>High Price</v>
      </c>
      <c r="Q156" s="28" t="str">
        <f t="shared" si="29"/>
        <v>Bad</v>
      </c>
      <c r="R156" s="28" t="str">
        <f t="shared" si="30"/>
        <v>Low Discont</v>
      </c>
      <c r="S156" s="28" t="str">
        <f t="shared" si="31"/>
        <v>No Review Needed</v>
      </c>
      <c r="T156" s="28" t="str">
        <f t="shared" si="32"/>
        <v>No</v>
      </c>
      <c r="U156" s="1"/>
      <c r="V156" s="1"/>
      <c r="W156" s="1"/>
      <c r="X156" s="1"/>
      <c r="Y156" s="1"/>
    </row>
    <row r="157" spans="1:25" ht="15.75" customHeight="1" x14ac:dyDescent="0.35">
      <c r="A157" s="28" t="s">
        <v>197</v>
      </c>
      <c r="B157" s="28" t="s">
        <v>21</v>
      </c>
      <c r="C157" s="28" t="s">
        <v>22</v>
      </c>
      <c r="D157" s="28" t="s">
        <v>77</v>
      </c>
      <c r="E157" s="28">
        <v>29</v>
      </c>
      <c r="F157" s="28">
        <v>500</v>
      </c>
      <c r="G157" s="28">
        <v>10</v>
      </c>
      <c r="H157" s="28" t="s">
        <v>32</v>
      </c>
      <c r="I157" s="29">
        <v>44950</v>
      </c>
      <c r="J157" s="28">
        <f t="shared" si="22"/>
        <v>13050</v>
      </c>
      <c r="K157" s="28">
        <f t="shared" si="23"/>
        <v>1957.5</v>
      </c>
      <c r="L157" s="28">
        <f t="shared" si="24"/>
        <v>14500</v>
      </c>
      <c r="M157" s="28">
        <f t="shared" si="25"/>
        <v>24</v>
      </c>
      <c r="N157" s="28">
        <f t="shared" si="26"/>
        <v>1</v>
      </c>
      <c r="O157" s="28">
        <f t="shared" si="27"/>
        <v>2023</v>
      </c>
      <c r="P157" s="28" t="str">
        <f t="shared" si="28"/>
        <v>High Price</v>
      </c>
      <c r="Q157" s="28" t="str">
        <f t="shared" si="29"/>
        <v>Bad</v>
      </c>
      <c r="R157" s="28" t="str">
        <f t="shared" si="30"/>
        <v>Low Discont</v>
      </c>
      <c r="S157" s="28" t="str">
        <f t="shared" si="31"/>
        <v>Low Priority Review</v>
      </c>
      <c r="T157" s="28" t="str">
        <f t="shared" si="32"/>
        <v>So</v>
      </c>
      <c r="U157" s="1"/>
      <c r="V157" s="1"/>
      <c r="W157" s="1"/>
      <c r="X157" s="1"/>
      <c r="Y157" s="1"/>
    </row>
    <row r="158" spans="1:25" ht="15.75" customHeight="1" x14ac:dyDescent="0.35">
      <c r="A158" s="28" t="s">
        <v>198</v>
      </c>
      <c r="B158" s="28" t="s">
        <v>57</v>
      </c>
      <c r="C158" s="28" t="s">
        <v>22</v>
      </c>
      <c r="D158" s="28" t="s">
        <v>23</v>
      </c>
      <c r="E158" s="28">
        <v>13</v>
      </c>
      <c r="F158" s="28">
        <v>3000</v>
      </c>
      <c r="G158" s="28">
        <v>15</v>
      </c>
      <c r="H158" s="28" t="s">
        <v>32</v>
      </c>
      <c r="I158" s="29">
        <v>45101</v>
      </c>
      <c r="J158" s="28">
        <f t="shared" si="22"/>
        <v>33150</v>
      </c>
      <c r="K158" s="28">
        <f t="shared" si="23"/>
        <v>4972.5</v>
      </c>
      <c r="L158" s="28">
        <f t="shared" si="24"/>
        <v>39000</v>
      </c>
      <c r="M158" s="28">
        <f t="shared" si="25"/>
        <v>24</v>
      </c>
      <c r="N158" s="28">
        <f t="shared" si="26"/>
        <v>6</v>
      </c>
      <c r="O158" s="28">
        <f t="shared" si="27"/>
        <v>2023</v>
      </c>
      <c r="P158" s="28" t="str">
        <f t="shared" si="28"/>
        <v>High Price</v>
      </c>
      <c r="Q158" s="28" t="str">
        <f t="shared" si="29"/>
        <v>Good</v>
      </c>
      <c r="R158" s="28" t="str">
        <f t="shared" si="30"/>
        <v>High Discount</v>
      </c>
      <c r="S158" s="28" t="str">
        <f t="shared" si="31"/>
        <v>High Priority Review</v>
      </c>
      <c r="T158" s="28" t="str">
        <f t="shared" si="32"/>
        <v>So</v>
      </c>
      <c r="U158" s="1"/>
      <c r="V158" s="1"/>
      <c r="W158" s="1"/>
      <c r="X158" s="1"/>
      <c r="Y158" s="1"/>
    </row>
    <row r="159" spans="1:25" ht="15.75" customHeight="1" x14ac:dyDescent="0.35">
      <c r="A159" s="28" t="s">
        <v>199</v>
      </c>
      <c r="B159" s="28" t="s">
        <v>57</v>
      </c>
      <c r="C159" s="28" t="s">
        <v>26</v>
      </c>
      <c r="D159" s="28" t="s">
        <v>44</v>
      </c>
      <c r="E159" s="28">
        <v>24</v>
      </c>
      <c r="F159" s="28">
        <v>3000</v>
      </c>
      <c r="G159" s="28">
        <v>10</v>
      </c>
      <c r="H159" s="28" t="s">
        <v>24</v>
      </c>
      <c r="I159" s="29">
        <v>45131</v>
      </c>
      <c r="J159" s="28">
        <f t="shared" si="22"/>
        <v>64800</v>
      </c>
      <c r="K159" s="28">
        <f t="shared" si="23"/>
        <v>9720</v>
      </c>
      <c r="L159" s="28">
        <f t="shared" si="24"/>
        <v>72000</v>
      </c>
      <c r="M159" s="28">
        <f t="shared" si="25"/>
        <v>24</v>
      </c>
      <c r="N159" s="28">
        <f t="shared" si="26"/>
        <v>7</v>
      </c>
      <c r="O159" s="28">
        <f t="shared" si="27"/>
        <v>2023</v>
      </c>
      <c r="P159" s="28" t="str">
        <f t="shared" si="28"/>
        <v>High Price</v>
      </c>
      <c r="Q159" s="28" t="str">
        <f t="shared" si="29"/>
        <v>Good</v>
      </c>
      <c r="R159" s="28" t="str">
        <f t="shared" si="30"/>
        <v>Low Discont</v>
      </c>
      <c r="S159" s="28" t="str">
        <f t="shared" si="31"/>
        <v>No Review Needed</v>
      </c>
      <c r="T159" s="28" t="str">
        <f t="shared" si="32"/>
        <v>No</v>
      </c>
      <c r="U159" s="1"/>
      <c r="V159" s="1"/>
      <c r="W159" s="1"/>
      <c r="X159" s="1"/>
      <c r="Y159" s="1"/>
    </row>
    <row r="160" spans="1:25" ht="15.75" customHeight="1" x14ac:dyDescent="0.35">
      <c r="A160" s="28" t="s">
        <v>200</v>
      </c>
      <c r="B160" s="28" t="s">
        <v>34</v>
      </c>
      <c r="C160" s="28" t="s">
        <v>37</v>
      </c>
      <c r="D160" s="28" t="s">
        <v>41</v>
      </c>
      <c r="E160" s="28">
        <v>3</v>
      </c>
      <c r="F160" s="28">
        <v>2000</v>
      </c>
      <c r="G160" s="28">
        <v>15</v>
      </c>
      <c r="H160" s="28" t="s">
        <v>32</v>
      </c>
      <c r="I160" s="29">
        <v>45162</v>
      </c>
      <c r="J160" s="28">
        <f t="shared" si="22"/>
        <v>5100</v>
      </c>
      <c r="K160" s="28">
        <f t="shared" si="23"/>
        <v>765</v>
      </c>
      <c r="L160" s="28">
        <f t="shared" si="24"/>
        <v>6000</v>
      </c>
      <c r="M160" s="28">
        <f t="shared" si="25"/>
        <v>24</v>
      </c>
      <c r="N160" s="28">
        <f t="shared" si="26"/>
        <v>8</v>
      </c>
      <c r="O160" s="28">
        <f t="shared" si="27"/>
        <v>2023</v>
      </c>
      <c r="P160" s="28" t="str">
        <f t="shared" si="28"/>
        <v>High Price</v>
      </c>
      <c r="Q160" s="28" t="str">
        <f t="shared" si="29"/>
        <v>Bad</v>
      </c>
      <c r="R160" s="28" t="str">
        <f t="shared" si="30"/>
        <v>High Discount</v>
      </c>
      <c r="S160" s="28" t="str">
        <f t="shared" si="31"/>
        <v>High Priority Review</v>
      </c>
      <c r="T160" s="28" t="str">
        <f t="shared" si="32"/>
        <v>Ea</v>
      </c>
      <c r="U160" s="1"/>
      <c r="V160" s="1"/>
      <c r="W160" s="1"/>
      <c r="X160" s="1"/>
      <c r="Y160" s="1"/>
    </row>
    <row r="161" spans="1:25" ht="15.75" customHeight="1" x14ac:dyDescent="0.35">
      <c r="A161" s="28" t="s">
        <v>201</v>
      </c>
      <c r="B161" s="28" t="s">
        <v>29</v>
      </c>
      <c r="C161" s="28" t="s">
        <v>30</v>
      </c>
      <c r="D161" s="28" t="s">
        <v>31</v>
      </c>
      <c r="E161" s="28">
        <v>7</v>
      </c>
      <c r="F161" s="28">
        <v>5000</v>
      </c>
      <c r="G161" s="28">
        <v>15</v>
      </c>
      <c r="H161" s="28" t="s">
        <v>32</v>
      </c>
      <c r="I161" s="29">
        <v>45193</v>
      </c>
      <c r="J161" s="28">
        <f t="shared" si="22"/>
        <v>29750</v>
      </c>
      <c r="K161" s="28">
        <f t="shared" si="23"/>
        <v>4462.5</v>
      </c>
      <c r="L161" s="28">
        <f t="shared" si="24"/>
        <v>35000</v>
      </c>
      <c r="M161" s="28">
        <f t="shared" si="25"/>
        <v>24</v>
      </c>
      <c r="N161" s="28">
        <f t="shared" si="26"/>
        <v>9</v>
      </c>
      <c r="O161" s="28">
        <f t="shared" si="27"/>
        <v>2023</v>
      </c>
      <c r="P161" s="28" t="str">
        <f t="shared" si="28"/>
        <v>High Price</v>
      </c>
      <c r="Q161" s="28" t="str">
        <f t="shared" si="29"/>
        <v>Good</v>
      </c>
      <c r="R161" s="28" t="str">
        <f t="shared" si="30"/>
        <v>High Discount</v>
      </c>
      <c r="S161" s="28" t="str">
        <f t="shared" si="31"/>
        <v>High Priority Review</v>
      </c>
      <c r="T161" s="28" t="str">
        <f t="shared" si="32"/>
        <v>We</v>
      </c>
      <c r="U161" s="1"/>
      <c r="V161" s="1"/>
      <c r="W161" s="1"/>
      <c r="X161" s="1"/>
      <c r="Y161" s="1"/>
    </row>
    <row r="162" spans="1:25" ht="15.75" customHeight="1" x14ac:dyDescent="0.35">
      <c r="A162" s="28" t="s">
        <v>202</v>
      </c>
      <c r="B162" s="28" t="s">
        <v>54</v>
      </c>
      <c r="C162" s="28" t="s">
        <v>37</v>
      </c>
      <c r="D162" s="28" t="s">
        <v>47</v>
      </c>
      <c r="E162" s="28">
        <v>20</v>
      </c>
      <c r="F162" s="28">
        <v>1000</v>
      </c>
      <c r="G162" s="28">
        <v>5</v>
      </c>
      <c r="H162" s="28" t="s">
        <v>24</v>
      </c>
      <c r="I162" s="29">
        <v>45223</v>
      </c>
      <c r="J162" s="28">
        <f t="shared" si="22"/>
        <v>19000</v>
      </c>
      <c r="K162" s="28">
        <f t="shared" si="23"/>
        <v>2850</v>
      </c>
      <c r="L162" s="28">
        <f t="shared" si="24"/>
        <v>20000</v>
      </c>
      <c r="M162" s="28">
        <f t="shared" si="25"/>
        <v>24</v>
      </c>
      <c r="N162" s="28">
        <f t="shared" si="26"/>
        <v>10</v>
      </c>
      <c r="O162" s="28">
        <f t="shared" si="27"/>
        <v>2023</v>
      </c>
      <c r="P162" s="28" t="str">
        <f t="shared" si="28"/>
        <v>High Price</v>
      </c>
      <c r="Q162" s="28" t="str">
        <f t="shared" si="29"/>
        <v>Bad</v>
      </c>
      <c r="R162" s="28" t="str">
        <f t="shared" si="30"/>
        <v>Low Discont</v>
      </c>
      <c r="S162" s="28" t="str">
        <f t="shared" si="31"/>
        <v>No Review Needed</v>
      </c>
      <c r="T162" s="28" t="str">
        <f t="shared" si="32"/>
        <v>Ea</v>
      </c>
      <c r="U162" s="1"/>
      <c r="V162" s="1"/>
      <c r="W162" s="1"/>
      <c r="X162" s="1"/>
      <c r="Y162" s="1"/>
    </row>
    <row r="163" spans="1:25" ht="15.75" customHeight="1" x14ac:dyDescent="0.35">
      <c r="A163" s="28" t="s">
        <v>203</v>
      </c>
      <c r="B163" s="28" t="s">
        <v>39</v>
      </c>
      <c r="C163" s="28" t="s">
        <v>30</v>
      </c>
      <c r="D163" s="28" t="s">
        <v>31</v>
      </c>
      <c r="E163" s="28">
        <v>13</v>
      </c>
      <c r="F163" s="28">
        <v>250</v>
      </c>
      <c r="G163" s="28">
        <v>0</v>
      </c>
      <c r="H163" s="28" t="s">
        <v>32</v>
      </c>
      <c r="I163" s="29">
        <v>45071</v>
      </c>
      <c r="J163" s="28">
        <f t="shared" si="22"/>
        <v>3250</v>
      </c>
      <c r="K163" s="28">
        <f t="shared" si="23"/>
        <v>487.5</v>
      </c>
      <c r="L163" s="28">
        <f t="shared" si="24"/>
        <v>3250</v>
      </c>
      <c r="M163" s="28">
        <f t="shared" si="25"/>
        <v>25</v>
      </c>
      <c r="N163" s="28">
        <f t="shared" si="26"/>
        <v>5</v>
      </c>
      <c r="O163" s="28">
        <f t="shared" si="27"/>
        <v>2023</v>
      </c>
      <c r="P163" s="28" t="str">
        <f t="shared" si="28"/>
        <v>Low Price</v>
      </c>
      <c r="Q163" s="28" t="str">
        <f t="shared" si="29"/>
        <v>Bad</v>
      </c>
      <c r="R163" s="28" t="str">
        <f t="shared" si="30"/>
        <v>No Discount</v>
      </c>
      <c r="S163" s="28" t="str">
        <f t="shared" si="31"/>
        <v>Low Priority Review</v>
      </c>
      <c r="T163" s="28" t="str">
        <f t="shared" si="32"/>
        <v>We</v>
      </c>
      <c r="U163" s="1"/>
      <c r="V163" s="1"/>
      <c r="W163" s="1"/>
      <c r="X163" s="1"/>
      <c r="Y163" s="1"/>
    </row>
    <row r="164" spans="1:25" ht="15.75" customHeight="1" x14ac:dyDescent="0.35">
      <c r="A164" s="28" t="s">
        <v>204</v>
      </c>
      <c r="B164" s="28" t="s">
        <v>54</v>
      </c>
      <c r="C164" s="28" t="s">
        <v>37</v>
      </c>
      <c r="D164" s="28" t="s">
        <v>47</v>
      </c>
      <c r="E164" s="28">
        <v>23</v>
      </c>
      <c r="F164" s="28">
        <v>1000</v>
      </c>
      <c r="G164" s="28">
        <v>0</v>
      </c>
      <c r="H164" s="28" t="s">
        <v>24</v>
      </c>
      <c r="I164" s="29">
        <v>45163</v>
      </c>
      <c r="J164" s="28">
        <f t="shared" si="22"/>
        <v>23000</v>
      </c>
      <c r="K164" s="28">
        <f t="shared" si="23"/>
        <v>3450</v>
      </c>
      <c r="L164" s="28">
        <f t="shared" si="24"/>
        <v>23000</v>
      </c>
      <c r="M164" s="28">
        <f t="shared" si="25"/>
        <v>25</v>
      </c>
      <c r="N164" s="28">
        <f t="shared" si="26"/>
        <v>8</v>
      </c>
      <c r="O164" s="28">
        <f t="shared" si="27"/>
        <v>2023</v>
      </c>
      <c r="P164" s="28" t="str">
        <f t="shared" si="28"/>
        <v>High Price</v>
      </c>
      <c r="Q164" s="28" t="str">
        <f t="shared" si="29"/>
        <v>Good</v>
      </c>
      <c r="R164" s="28" t="str">
        <f t="shared" si="30"/>
        <v>No Discount</v>
      </c>
      <c r="S164" s="28" t="str">
        <f t="shared" si="31"/>
        <v>No Review Needed</v>
      </c>
      <c r="T164" s="28" t="str">
        <f t="shared" si="32"/>
        <v>Ea</v>
      </c>
      <c r="U164" s="1"/>
      <c r="V164" s="1"/>
      <c r="W164" s="1"/>
      <c r="X164" s="1"/>
      <c r="Y164" s="1"/>
    </row>
    <row r="165" spans="1:25" ht="15.75" customHeight="1" x14ac:dyDescent="0.35">
      <c r="A165" s="28" t="s">
        <v>205</v>
      </c>
      <c r="B165" s="28" t="s">
        <v>43</v>
      </c>
      <c r="C165" s="28" t="s">
        <v>22</v>
      </c>
      <c r="D165" s="28" t="s">
        <v>23</v>
      </c>
      <c r="E165" s="28">
        <v>13</v>
      </c>
      <c r="F165" s="28">
        <v>1750</v>
      </c>
      <c r="G165" s="28">
        <v>20</v>
      </c>
      <c r="H165" s="28" t="s">
        <v>24</v>
      </c>
      <c r="I165" s="29">
        <v>45163</v>
      </c>
      <c r="J165" s="28">
        <f t="shared" si="22"/>
        <v>18200</v>
      </c>
      <c r="K165" s="28">
        <f t="shared" si="23"/>
        <v>2730</v>
      </c>
      <c r="L165" s="28">
        <f t="shared" si="24"/>
        <v>22750</v>
      </c>
      <c r="M165" s="28">
        <f t="shared" si="25"/>
        <v>25</v>
      </c>
      <c r="N165" s="28">
        <f t="shared" si="26"/>
        <v>8</v>
      </c>
      <c r="O165" s="28">
        <f t="shared" si="27"/>
        <v>2023</v>
      </c>
      <c r="P165" s="28" t="str">
        <f t="shared" si="28"/>
        <v>High Price</v>
      </c>
      <c r="Q165" s="28" t="str">
        <f t="shared" si="29"/>
        <v>Bad</v>
      </c>
      <c r="R165" s="28" t="str">
        <f t="shared" si="30"/>
        <v>High Discount</v>
      </c>
      <c r="S165" s="28" t="str">
        <f t="shared" si="31"/>
        <v>No Review Needed</v>
      </c>
      <c r="T165" s="28" t="str">
        <f t="shared" si="32"/>
        <v>So</v>
      </c>
      <c r="U165" s="1"/>
      <c r="V165" s="1"/>
      <c r="W165" s="1"/>
      <c r="X165" s="1"/>
      <c r="Y165" s="1"/>
    </row>
    <row r="166" spans="1:25" ht="15.75" customHeight="1" x14ac:dyDescent="0.35">
      <c r="A166" s="28" t="s">
        <v>206</v>
      </c>
      <c r="B166" s="28" t="s">
        <v>39</v>
      </c>
      <c r="C166" s="28" t="s">
        <v>37</v>
      </c>
      <c r="D166" s="28" t="s">
        <v>41</v>
      </c>
      <c r="E166" s="28">
        <v>23</v>
      </c>
      <c r="F166" s="28">
        <v>250</v>
      </c>
      <c r="G166" s="28">
        <v>5</v>
      </c>
      <c r="H166" s="28" t="s">
        <v>24</v>
      </c>
      <c r="I166" s="29">
        <v>45255</v>
      </c>
      <c r="J166" s="28">
        <f t="shared" si="22"/>
        <v>5462.5</v>
      </c>
      <c r="K166" s="28">
        <f t="shared" si="23"/>
        <v>819.38</v>
      </c>
      <c r="L166" s="28">
        <f t="shared" si="24"/>
        <v>5750</v>
      </c>
      <c r="M166" s="28">
        <f t="shared" si="25"/>
        <v>25</v>
      </c>
      <c r="N166" s="28">
        <f t="shared" si="26"/>
        <v>11</v>
      </c>
      <c r="O166" s="28">
        <f t="shared" si="27"/>
        <v>2023</v>
      </c>
      <c r="P166" s="28" t="str">
        <f t="shared" si="28"/>
        <v>Low Price</v>
      </c>
      <c r="Q166" s="28" t="str">
        <f t="shared" si="29"/>
        <v>Bad</v>
      </c>
      <c r="R166" s="28" t="str">
        <f t="shared" si="30"/>
        <v>Low Discont</v>
      </c>
      <c r="S166" s="28" t="str">
        <f t="shared" si="31"/>
        <v>No Review Needed</v>
      </c>
      <c r="T166" s="28" t="str">
        <f t="shared" si="32"/>
        <v>Ea</v>
      </c>
      <c r="U166" s="1"/>
      <c r="V166" s="1"/>
      <c r="W166" s="1"/>
      <c r="X166" s="1"/>
      <c r="Y166" s="1"/>
    </row>
    <row r="167" spans="1:25" ht="15.75" customHeight="1" x14ac:dyDescent="0.35">
      <c r="A167" s="28" t="s">
        <v>207</v>
      </c>
      <c r="B167" s="28" t="s">
        <v>43</v>
      </c>
      <c r="C167" s="28" t="s">
        <v>37</v>
      </c>
      <c r="D167" s="28" t="s">
        <v>47</v>
      </c>
      <c r="E167" s="28">
        <v>32</v>
      </c>
      <c r="F167" s="28">
        <v>1750</v>
      </c>
      <c r="G167" s="28">
        <v>20</v>
      </c>
      <c r="H167" s="28" t="s">
        <v>24</v>
      </c>
      <c r="I167" s="29">
        <v>45255</v>
      </c>
      <c r="J167" s="28">
        <f t="shared" si="22"/>
        <v>44800</v>
      </c>
      <c r="K167" s="28">
        <f t="shared" si="23"/>
        <v>6720</v>
      </c>
      <c r="L167" s="28">
        <f t="shared" si="24"/>
        <v>56000</v>
      </c>
      <c r="M167" s="28">
        <f t="shared" si="25"/>
        <v>25</v>
      </c>
      <c r="N167" s="28">
        <f t="shared" si="26"/>
        <v>11</v>
      </c>
      <c r="O167" s="28">
        <f t="shared" si="27"/>
        <v>2023</v>
      </c>
      <c r="P167" s="28" t="str">
        <f t="shared" si="28"/>
        <v>High Price</v>
      </c>
      <c r="Q167" s="28" t="str">
        <f t="shared" si="29"/>
        <v>Good</v>
      </c>
      <c r="R167" s="28" t="str">
        <f t="shared" si="30"/>
        <v>High Discount</v>
      </c>
      <c r="S167" s="28" t="str">
        <f t="shared" si="31"/>
        <v>No Review Needed</v>
      </c>
      <c r="T167" s="28" t="str">
        <f t="shared" si="32"/>
        <v>Ea</v>
      </c>
      <c r="U167" s="1"/>
      <c r="V167" s="1"/>
      <c r="W167" s="1"/>
      <c r="X167" s="1"/>
      <c r="Y167" s="1"/>
    </row>
    <row r="168" spans="1:25" ht="15.75" customHeight="1" x14ac:dyDescent="0.35">
      <c r="A168" s="28" t="s">
        <v>208</v>
      </c>
      <c r="B168" s="28" t="s">
        <v>57</v>
      </c>
      <c r="C168" s="28" t="s">
        <v>37</v>
      </c>
      <c r="D168" s="28" t="s">
        <v>41</v>
      </c>
      <c r="E168" s="28">
        <v>26</v>
      </c>
      <c r="F168" s="28">
        <v>3000</v>
      </c>
      <c r="G168" s="28">
        <v>20</v>
      </c>
      <c r="H168" s="28" t="s">
        <v>24</v>
      </c>
      <c r="I168" s="29">
        <v>44952</v>
      </c>
      <c r="J168" s="28">
        <f t="shared" si="22"/>
        <v>62400</v>
      </c>
      <c r="K168" s="28">
        <f t="shared" si="23"/>
        <v>9360</v>
      </c>
      <c r="L168" s="28">
        <f t="shared" si="24"/>
        <v>78000</v>
      </c>
      <c r="M168" s="28">
        <f t="shared" si="25"/>
        <v>26</v>
      </c>
      <c r="N168" s="28">
        <f t="shared" si="26"/>
        <v>1</v>
      </c>
      <c r="O168" s="28">
        <f t="shared" si="27"/>
        <v>2023</v>
      </c>
      <c r="P168" s="28" t="str">
        <f t="shared" si="28"/>
        <v>High Price</v>
      </c>
      <c r="Q168" s="28" t="str">
        <f t="shared" si="29"/>
        <v>Good</v>
      </c>
      <c r="R168" s="28" t="str">
        <f t="shared" si="30"/>
        <v>High Discount</v>
      </c>
      <c r="S168" s="28" t="str">
        <f t="shared" si="31"/>
        <v>No Review Needed</v>
      </c>
      <c r="T168" s="28" t="str">
        <f t="shared" si="32"/>
        <v>Ea</v>
      </c>
      <c r="U168" s="1"/>
      <c r="V168" s="1"/>
      <c r="W168" s="1"/>
      <c r="X168" s="1"/>
      <c r="Y168" s="1"/>
    </row>
    <row r="169" spans="1:25" ht="15.75" customHeight="1" x14ac:dyDescent="0.35">
      <c r="A169" s="28" t="s">
        <v>209</v>
      </c>
      <c r="B169" s="28" t="s">
        <v>57</v>
      </c>
      <c r="C169" s="28" t="s">
        <v>37</v>
      </c>
      <c r="D169" s="28" t="s">
        <v>41</v>
      </c>
      <c r="E169" s="28">
        <v>21</v>
      </c>
      <c r="F169" s="28">
        <v>3000</v>
      </c>
      <c r="G169" s="28">
        <v>15</v>
      </c>
      <c r="H169" s="28" t="s">
        <v>32</v>
      </c>
      <c r="I169" s="29">
        <v>44952</v>
      </c>
      <c r="J169" s="28">
        <f t="shared" si="22"/>
        <v>53550</v>
      </c>
      <c r="K169" s="28">
        <f t="shared" si="23"/>
        <v>8032.5</v>
      </c>
      <c r="L169" s="28">
        <f t="shared" si="24"/>
        <v>63000</v>
      </c>
      <c r="M169" s="28">
        <f t="shared" si="25"/>
        <v>26</v>
      </c>
      <c r="N169" s="28">
        <f t="shared" si="26"/>
        <v>1</v>
      </c>
      <c r="O169" s="28">
        <f t="shared" si="27"/>
        <v>2023</v>
      </c>
      <c r="P169" s="28" t="str">
        <f t="shared" si="28"/>
        <v>High Price</v>
      </c>
      <c r="Q169" s="28" t="str">
        <f t="shared" si="29"/>
        <v>Good</v>
      </c>
      <c r="R169" s="28" t="str">
        <f t="shared" si="30"/>
        <v>High Discount</v>
      </c>
      <c r="S169" s="28" t="str">
        <f t="shared" si="31"/>
        <v>High Priority Review</v>
      </c>
      <c r="T169" s="28" t="str">
        <f t="shared" si="32"/>
        <v>Ea</v>
      </c>
      <c r="U169" s="1"/>
      <c r="V169" s="1"/>
      <c r="W169" s="1"/>
      <c r="X169" s="1"/>
      <c r="Y169" s="1"/>
    </row>
    <row r="170" spans="1:25" ht="15.75" customHeight="1" x14ac:dyDescent="0.35">
      <c r="A170" s="28" t="s">
        <v>210</v>
      </c>
      <c r="B170" s="28" t="s">
        <v>57</v>
      </c>
      <c r="C170" s="28" t="s">
        <v>26</v>
      </c>
      <c r="D170" s="28" t="s">
        <v>27</v>
      </c>
      <c r="E170" s="28">
        <v>8</v>
      </c>
      <c r="F170" s="28">
        <v>3000</v>
      </c>
      <c r="G170" s="28">
        <v>10</v>
      </c>
      <c r="H170" s="28" t="s">
        <v>32</v>
      </c>
      <c r="I170" s="29">
        <v>44983</v>
      </c>
      <c r="J170" s="28">
        <f t="shared" si="22"/>
        <v>21600</v>
      </c>
      <c r="K170" s="28">
        <f t="shared" si="23"/>
        <v>3240</v>
      </c>
      <c r="L170" s="28">
        <f t="shared" si="24"/>
        <v>24000</v>
      </c>
      <c r="M170" s="28">
        <f t="shared" si="25"/>
        <v>26</v>
      </c>
      <c r="N170" s="28">
        <f t="shared" si="26"/>
        <v>2</v>
      </c>
      <c r="O170" s="28">
        <f t="shared" si="27"/>
        <v>2023</v>
      </c>
      <c r="P170" s="28" t="str">
        <f t="shared" si="28"/>
        <v>High Price</v>
      </c>
      <c r="Q170" s="28" t="str">
        <f t="shared" si="29"/>
        <v>Good</v>
      </c>
      <c r="R170" s="28" t="str">
        <f t="shared" si="30"/>
        <v>Low Discont</v>
      </c>
      <c r="S170" s="28" t="str">
        <f t="shared" si="31"/>
        <v>Low Priority Review</v>
      </c>
      <c r="T170" s="28" t="str">
        <f t="shared" si="32"/>
        <v>No</v>
      </c>
      <c r="U170" s="1"/>
      <c r="V170" s="1"/>
      <c r="W170" s="1"/>
      <c r="X170" s="1"/>
      <c r="Y170" s="1"/>
    </row>
    <row r="171" spans="1:25" ht="15.75" customHeight="1" x14ac:dyDescent="0.35">
      <c r="A171" s="28" t="s">
        <v>211</v>
      </c>
      <c r="B171" s="28" t="s">
        <v>29</v>
      </c>
      <c r="C171" s="28" t="s">
        <v>30</v>
      </c>
      <c r="D171" s="28" t="s">
        <v>74</v>
      </c>
      <c r="E171" s="28">
        <v>5</v>
      </c>
      <c r="F171" s="28">
        <v>5000</v>
      </c>
      <c r="G171" s="28">
        <v>5</v>
      </c>
      <c r="H171" s="28" t="s">
        <v>24</v>
      </c>
      <c r="I171" s="29">
        <v>45042</v>
      </c>
      <c r="J171" s="28">
        <f t="shared" si="22"/>
        <v>23750</v>
      </c>
      <c r="K171" s="28">
        <f t="shared" si="23"/>
        <v>3562.5</v>
      </c>
      <c r="L171" s="28">
        <f t="shared" si="24"/>
        <v>25000</v>
      </c>
      <c r="M171" s="28">
        <f t="shared" si="25"/>
        <v>26</v>
      </c>
      <c r="N171" s="28">
        <f t="shared" si="26"/>
        <v>4</v>
      </c>
      <c r="O171" s="28">
        <f t="shared" si="27"/>
        <v>2023</v>
      </c>
      <c r="P171" s="28" t="str">
        <f t="shared" si="28"/>
        <v>High Price</v>
      </c>
      <c r="Q171" s="28" t="str">
        <f t="shared" si="29"/>
        <v>Good</v>
      </c>
      <c r="R171" s="28" t="str">
        <f t="shared" si="30"/>
        <v>Low Discont</v>
      </c>
      <c r="S171" s="28" t="str">
        <f t="shared" si="31"/>
        <v>No Review Needed</v>
      </c>
      <c r="T171" s="28" t="str">
        <f t="shared" si="32"/>
        <v>We</v>
      </c>
      <c r="U171" s="1"/>
      <c r="V171" s="1"/>
      <c r="W171" s="1"/>
      <c r="X171" s="1"/>
      <c r="Y171" s="1"/>
    </row>
    <row r="172" spans="1:25" ht="15.75" customHeight="1" x14ac:dyDescent="0.35">
      <c r="A172" s="28" t="s">
        <v>212</v>
      </c>
      <c r="B172" s="28" t="s">
        <v>39</v>
      </c>
      <c r="C172" s="28" t="s">
        <v>30</v>
      </c>
      <c r="D172" s="28" t="s">
        <v>74</v>
      </c>
      <c r="E172" s="28">
        <v>22</v>
      </c>
      <c r="F172" s="28">
        <v>250</v>
      </c>
      <c r="G172" s="28"/>
      <c r="H172" s="28" t="s">
        <v>32</v>
      </c>
      <c r="I172" s="29">
        <v>45042</v>
      </c>
      <c r="J172" s="28">
        <f t="shared" si="22"/>
        <v>5500</v>
      </c>
      <c r="K172" s="28">
        <f t="shared" si="23"/>
        <v>825</v>
      </c>
      <c r="L172" s="28">
        <f t="shared" si="24"/>
        <v>5500</v>
      </c>
      <c r="M172" s="28">
        <f t="shared" si="25"/>
        <v>26</v>
      </c>
      <c r="N172" s="28">
        <f t="shared" si="26"/>
        <v>4</v>
      </c>
      <c r="O172" s="28">
        <f t="shared" si="27"/>
        <v>2023</v>
      </c>
      <c r="P172" s="28" t="str">
        <f t="shared" si="28"/>
        <v>Low Price</v>
      </c>
      <c r="Q172" s="28" t="str">
        <f t="shared" si="29"/>
        <v>Bad</v>
      </c>
      <c r="R172" s="28" t="str">
        <f t="shared" si="30"/>
        <v>No Discount</v>
      </c>
      <c r="S172" s="28" t="str">
        <f t="shared" si="31"/>
        <v>Low Priority Review</v>
      </c>
      <c r="T172" s="28" t="str">
        <f t="shared" si="32"/>
        <v>We</v>
      </c>
      <c r="U172" s="1"/>
      <c r="V172" s="1"/>
      <c r="W172" s="1"/>
      <c r="X172" s="1"/>
      <c r="Y172" s="1"/>
    </row>
    <row r="173" spans="1:25" ht="15.75" customHeight="1" x14ac:dyDescent="0.35">
      <c r="A173" s="28" t="s">
        <v>213</v>
      </c>
      <c r="B173" s="28" t="s">
        <v>57</v>
      </c>
      <c r="C173" s="28" t="s">
        <v>22</v>
      </c>
      <c r="D173" s="28" t="s">
        <v>77</v>
      </c>
      <c r="E173" s="28">
        <v>6</v>
      </c>
      <c r="F173" s="28">
        <v>3000</v>
      </c>
      <c r="G173" s="28">
        <v>20</v>
      </c>
      <c r="H173" s="28" t="s">
        <v>24</v>
      </c>
      <c r="I173" s="29">
        <v>45072</v>
      </c>
      <c r="J173" s="28">
        <f t="shared" si="22"/>
        <v>14400</v>
      </c>
      <c r="K173" s="28">
        <f t="shared" si="23"/>
        <v>2160</v>
      </c>
      <c r="L173" s="28">
        <f t="shared" si="24"/>
        <v>18000</v>
      </c>
      <c r="M173" s="28">
        <f t="shared" si="25"/>
        <v>26</v>
      </c>
      <c r="N173" s="28">
        <f t="shared" si="26"/>
        <v>5</v>
      </c>
      <c r="O173" s="28">
        <f t="shared" si="27"/>
        <v>2023</v>
      </c>
      <c r="P173" s="28" t="str">
        <f t="shared" si="28"/>
        <v>High Price</v>
      </c>
      <c r="Q173" s="28" t="str">
        <f t="shared" si="29"/>
        <v>Bad</v>
      </c>
      <c r="R173" s="28" t="str">
        <f t="shared" si="30"/>
        <v>High Discount</v>
      </c>
      <c r="S173" s="28" t="str">
        <f t="shared" si="31"/>
        <v>No Review Needed</v>
      </c>
      <c r="T173" s="28" t="str">
        <f t="shared" si="32"/>
        <v>So</v>
      </c>
      <c r="U173" s="1"/>
      <c r="V173" s="1"/>
      <c r="W173" s="1"/>
      <c r="X173" s="1"/>
      <c r="Y173" s="1"/>
    </row>
    <row r="174" spans="1:25" ht="15.75" customHeight="1" x14ac:dyDescent="0.35">
      <c r="A174" s="28" t="s">
        <v>214</v>
      </c>
      <c r="B174" s="28" t="s">
        <v>57</v>
      </c>
      <c r="C174" s="28" t="s">
        <v>30</v>
      </c>
      <c r="D174" s="28" t="s">
        <v>74</v>
      </c>
      <c r="E174" s="28">
        <v>27</v>
      </c>
      <c r="F174" s="28">
        <v>3000</v>
      </c>
      <c r="G174" s="28">
        <v>20</v>
      </c>
      <c r="H174" s="28" t="s">
        <v>32</v>
      </c>
      <c r="I174" s="29">
        <v>45072</v>
      </c>
      <c r="J174" s="28">
        <f t="shared" si="22"/>
        <v>64800</v>
      </c>
      <c r="K174" s="28">
        <f t="shared" si="23"/>
        <v>9720</v>
      </c>
      <c r="L174" s="28">
        <f t="shared" si="24"/>
        <v>81000</v>
      </c>
      <c r="M174" s="28">
        <f t="shared" si="25"/>
        <v>26</v>
      </c>
      <c r="N174" s="28">
        <f t="shared" si="26"/>
        <v>5</v>
      </c>
      <c r="O174" s="28">
        <f t="shared" si="27"/>
        <v>2023</v>
      </c>
      <c r="P174" s="28" t="str">
        <f t="shared" si="28"/>
        <v>High Price</v>
      </c>
      <c r="Q174" s="28" t="str">
        <f t="shared" si="29"/>
        <v>Good</v>
      </c>
      <c r="R174" s="28" t="str">
        <f t="shared" si="30"/>
        <v>High Discount</v>
      </c>
      <c r="S174" s="28" t="str">
        <f t="shared" si="31"/>
        <v>High Priority Review</v>
      </c>
      <c r="T174" s="28" t="str">
        <f t="shared" si="32"/>
        <v>We</v>
      </c>
      <c r="U174" s="1"/>
      <c r="V174" s="1"/>
      <c r="W174" s="1"/>
      <c r="X174" s="1"/>
      <c r="Y174" s="1"/>
    </row>
    <row r="175" spans="1:25" ht="15.75" customHeight="1" x14ac:dyDescent="0.35">
      <c r="A175" s="28" t="s">
        <v>215</v>
      </c>
      <c r="B175" s="28" t="s">
        <v>21</v>
      </c>
      <c r="C175" s="28" t="s">
        <v>22</v>
      </c>
      <c r="D175" s="28" t="s">
        <v>23</v>
      </c>
      <c r="E175" s="28">
        <v>27</v>
      </c>
      <c r="F175" s="28">
        <v>500</v>
      </c>
      <c r="G175" s="28">
        <v>5</v>
      </c>
      <c r="H175" s="28" t="s">
        <v>32</v>
      </c>
      <c r="I175" s="29">
        <v>45103</v>
      </c>
      <c r="J175" s="28">
        <f t="shared" si="22"/>
        <v>12825</v>
      </c>
      <c r="K175" s="28">
        <f t="shared" si="23"/>
        <v>1923.75</v>
      </c>
      <c r="L175" s="28">
        <f t="shared" si="24"/>
        <v>13500</v>
      </c>
      <c r="M175" s="28">
        <f t="shared" si="25"/>
        <v>26</v>
      </c>
      <c r="N175" s="28">
        <f t="shared" si="26"/>
        <v>6</v>
      </c>
      <c r="O175" s="28">
        <f t="shared" si="27"/>
        <v>2023</v>
      </c>
      <c r="P175" s="28" t="str">
        <f t="shared" si="28"/>
        <v>High Price</v>
      </c>
      <c r="Q175" s="28" t="str">
        <f t="shared" si="29"/>
        <v>Bad</v>
      </c>
      <c r="R175" s="28" t="str">
        <f t="shared" si="30"/>
        <v>Low Discont</v>
      </c>
      <c r="S175" s="28" t="str">
        <f t="shared" si="31"/>
        <v>Low Priority Review</v>
      </c>
      <c r="T175" s="28" t="str">
        <f t="shared" si="32"/>
        <v>So</v>
      </c>
      <c r="U175" s="1"/>
      <c r="V175" s="1"/>
      <c r="W175" s="1"/>
      <c r="X175" s="1"/>
      <c r="Y175" s="1"/>
    </row>
    <row r="176" spans="1:25" ht="15.75" customHeight="1" x14ac:dyDescent="0.35">
      <c r="A176" s="28" t="s">
        <v>216</v>
      </c>
      <c r="B176" s="28" t="s">
        <v>34</v>
      </c>
      <c r="C176" s="28" t="s">
        <v>37</v>
      </c>
      <c r="D176" s="28" t="s">
        <v>41</v>
      </c>
      <c r="E176" s="28">
        <v>2</v>
      </c>
      <c r="F176" s="28">
        <v>2000</v>
      </c>
      <c r="G176" s="28">
        <v>15</v>
      </c>
      <c r="H176" s="28" t="s">
        <v>24</v>
      </c>
      <c r="I176" s="29">
        <v>45195</v>
      </c>
      <c r="J176" s="28">
        <f t="shared" si="22"/>
        <v>3400</v>
      </c>
      <c r="K176" s="28">
        <f t="shared" si="23"/>
        <v>510</v>
      </c>
      <c r="L176" s="28">
        <f t="shared" si="24"/>
        <v>4000</v>
      </c>
      <c r="M176" s="28">
        <f t="shared" si="25"/>
        <v>26</v>
      </c>
      <c r="N176" s="28">
        <f t="shared" si="26"/>
        <v>9</v>
      </c>
      <c r="O176" s="28">
        <f t="shared" si="27"/>
        <v>2023</v>
      </c>
      <c r="P176" s="28" t="str">
        <f t="shared" si="28"/>
        <v>High Price</v>
      </c>
      <c r="Q176" s="28" t="str">
        <f t="shared" si="29"/>
        <v>Bad</v>
      </c>
      <c r="R176" s="28" t="str">
        <f t="shared" si="30"/>
        <v>High Discount</v>
      </c>
      <c r="S176" s="28" t="str">
        <f t="shared" si="31"/>
        <v>No Review Needed</v>
      </c>
      <c r="T176" s="28" t="str">
        <f t="shared" si="32"/>
        <v>Ea</v>
      </c>
      <c r="U176" s="1"/>
      <c r="V176" s="1"/>
      <c r="W176" s="1"/>
      <c r="X176" s="1"/>
      <c r="Y176" s="1"/>
    </row>
    <row r="177" spans="1:25" ht="15.75" customHeight="1" x14ac:dyDescent="0.35">
      <c r="A177" s="28" t="s">
        <v>217</v>
      </c>
      <c r="B177" s="28" t="s">
        <v>34</v>
      </c>
      <c r="C177" s="28" t="s">
        <v>26</v>
      </c>
      <c r="D177" s="28" t="s">
        <v>27</v>
      </c>
      <c r="E177" s="28">
        <v>1</v>
      </c>
      <c r="F177" s="28">
        <v>2000</v>
      </c>
      <c r="G177" s="28">
        <v>15</v>
      </c>
      <c r="H177" s="28" t="s">
        <v>24</v>
      </c>
      <c r="I177" s="29">
        <v>45195</v>
      </c>
      <c r="J177" s="28">
        <f t="shared" si="22"/>
        <v>1700</v>
      </c>
      <c r="K177" s="28">
        <f t="shared" si="23"/>
        <v>255</v>
      </c>
      <c r="L177" s="28">
        <f t="shared" si="24"/>
        <v>2000</v>
      </c>
      <c r="M177" s="28">
        <f t="shared" si="25"/>
        <v>26</v>
      </c>
      <c r="N177" s="28">
        <f t="shared" si="26"/>
        <v>9</v>
      </c>
      <c r="O177" s="28">
        <f t="shared" si="27"/>
        <v>2023</v>
      </c>
      <c r="P177" s="28" t="str">
        <f t="shared" si="28"/>
        <v>High Price</v>
      </c>
      <c r="Q177" s="28" t="str">
        <f t="shared" si="29"/>
        <v>Bad</v>
      </c>
      <c r="R177" s="28" t="str">
        <f t="shared" si="30"/>
        <v>High Discount</v>
      </c>
      <c r="S177" s="28" t="str">
        <f t="shared" si="31"/>
        <v>No Review Needed</v>
      </c>
      <c r="T177" s="28" t="str">
        <f t="shared" si="32"/>
        <v>No</v>
      </c>
      <c r="U177" s="1"/>
      <c r="V177" s="1"/>
      <c r="W177" s="1"/>
      <c r="X177" s="1"/>
      <c r="Y177" s="1"/>
    </row>
    <row r="178" spans="1:25" ht="15.75" customHeight="1" x14ac:dyDescent="0.35">
      <c r="A178" s="28" t="s">
        <v>218</v>
      </c>
      <c r="B178" s="28" t="s">
        <v>34</v>
      </c>
      <c r="C178" s="28" t="s">
        <v>30</v>
      </c>
      <c r="D178" s="28" t="s">
        <v>74</v>
      </c>
      <c r="E178" s="28">
        <v>3</v>
      </c>
      <c r="F178" s="28">
        <v>2000</v>
      </c>
      <c r="G178" s="28">
        <v>20</v>
      </c>
      <c r="H178" s="28" t="s">
        <v>32</v>
      </c>
      <c r="I178" s="29">
        <v>44953</v>
      </c>
      <c r="J178" s="28">
        <f t="shared" si="22"/>
        <v>4800</v>
      </c>
      <c r="K178" s="28">
        <f t="shared" si="23"/>
        <v>720</v>
      </c>
      <c r="L178" s="28">
        <f t="shared" si="24"/>
        <v>6000</v>
      </c>
      <c r="M178" s="28">
        <f t="shared" si="25"/>
        <v>27</v>
      </c>
      <c r="N178" s="28">
        <f t="shared" si="26"/>
        <v>1</v>
      </c>
      <c r="O178" s="28">
        <f t="shared" si="27"/>
        <v>2023</v>
      </c>
      <c r="P178" s="28" t="str">
        <f t="shared" si="28"/>
        <v>High Price</v>
      </c>
      <c r="Q178" s="28" t="str">
        <f t="shared" si="29"/>
        <v>Bad</v>
      </c>
      <c r="R178" s="28" t="str">
        <f t="shared" si="30"/>
        <v>High Discount</v>
      </c>
      <c r="S178" s="28" t="str">
        <f t="shared" si="31"/>
        <v>High Priority Review</v>
      </c>
      <c r="T178" s="28" t="str">
        <f t="shared" si="32"/>
        <v>We</v>
      </c>
      <c r="U178" s="1"/>
      <c r="V178" s="1"/>
      <c r="W178" s="1"/>
      <c r="X178" s="1"/>
      <c r="Y178" s="1"/>
    </row>
    <row r="179" spans="1:25" ht="15.75" customHeight="1" x14ac:dyDescent="0.35">
      <c r="A179" s="28" t="s">
        <v>219</v>
      </c>
      <c r="B179" s="28" t="s">
        <v>39</v>
      </c>
      <c r="C179" s="28" t="s">
        <v>26</v>
      </c>
      <c r="D179" s="28" t="s">
        <v>44</v>
      </c>
      <c r="E179" s="28">
        <v>21</v>
      </c>
      <c r="F179" s="28">
        <v>250</v>
      </c>
      <c r="G179" s="28">
        <v>5</v>
      </c>
      <c r="H179" s="28" t="s">
        <v>24</v>
      </c>
      <c r="I179" s="29">
        <v>45043</v>
      </c>
      <c r="J179" s="28">
        <f t="shared" si="22"/>
        <v>4987.5</v>
      </c>
      <c r="K179" s="28">
        <f t="shared" si="23"/>
        <v>748.13</v>
      </c>
      <c r="L179" s="28">
        <f t="shared" si="24"/>
        <v>5250</v>
      </c>
      <c r="M179" s="28">
        <f t="shared" si="25"/>
        <v>27</v>
      </c>
      <c r="N179" s="28">
        <f t="shared" si="26"/>
        <v>4</v>
      </c>
      <c r="O179" s="28">
        <f t="shared" si="27"/>
        <v>2023</v>
      </c>
      <c r="P179" s="28" t="str">
        <f t="shared" si="28"/>
        <v>Low Price</v>
      </c>
      <c r="Q179" s="28" t="str">
        <f t="shared" si="29"/>
        <v>Bad</v>
      </c>
      <c r="R179" s="28" t="str">
        <f t="shared" si="30"/>
        <v>Low Discont</v>
      </c>
      <c r="S179" s="28" t="str">
        <f t="shared" si="31"/>
        <v>No Review Needed</v>
      </c>
      <c r="T179" s="28" t="str">
        <f t="shared" si="32"/>
        <v>No</v>
      </c>
      <c r="U179" s="1"/>
      <c r="V179" s="1"/>
      <c r="W179" s="1"/>
      <c r="X179" s="1"/>
      <c r="Y179" s="1"/>
    </row>
    <row r="180" spans="1:25" ht="15.75" customHeight="1" x14ac:dyDescent="0.35">
      <c r="A180" s="28" t="s">
        <v>220</v>
      </c>
      <c r="B180" s="28" t="s">
        <v>36</v>
      </c>
      <c r="C180" s="28" t="s">
        <v>26</v>
      </c>
      <c r="D180" s="28" t="s">
        <v>27</v>
      </c>
      <c r="E180" s="28">
        <v>3</v>
      </c>
      <c r="F180" s="28">
        <v>750</v>
      </c>
      <c r="G180" s="28">
        <v>0</v>
      </c>
      <c r="H180" s="28" t="s">
        <v>32</v>
      </c>
      <c r="I180" s="29">
        <v>45165</v>
      </c>
      <c r="J180" s="28">
        <f t="shared" si="22"/>
        <v>2250</v>
      </c>
      <c r="K180" s="28">
        <f t="shared" si="23"/>
        <v>337.5</v>
      </c>
      <c r="L180" s="28">
        <f t="shared" si="24"/>
        <v>2250</v>
      </c>
      <c r="M180" s="28">
        <f t="shared" si="25"/>
        <v>27</v>
      </c>
      <c r="N180" s="28">
        <f t="shared" si="26"/>
        <v>8</v>
      </c>
      <c r="O180" s="28">
        <f t="shared" si="27"/>
        <v>2023</v>
      </c>
      <c r="P180" s="28" t="str">
        <f t="shared" si="28"/>
        <v>High Price</v>
      </c>
      <c r="Q180" s="28" t="str">
        <f t="shared" si="29"/>
        <v>Bad</v>
      </c>
      <c r="R180" s="28" t="str">
        <f t="shared" si="30"/>
        <v>No Discount</v>
      </c>
      <c r="S180" s="28" t="str">
        <f t="shared" si="31"/>
        <v>Low Priority Review</v>
      </c>
      <c r="T180" s="28" t="str">
        <f t="shared" si="32"/>
        <v>No</v>
      </c>
      <c r="U180" s="1"/>
      <c r="V180" s="1"/>
      <c r="W180" s="1"/>
      <c r="X180" s="1"/>
      <c r="Y180" s="1"/>
    </row>
    <row r="181" spans="1:25" ht="15.75" customHeight="1" x14ac:dyDescent="0.35">
      <c r="A181" s="28" t="s">
        <v>221</v>
      </c>
      <c r="B181" s="28" t="s">
        <v>21</v>
      </c>
      <c r="C181" s="28" t="s">
        <v>26</v>
      </c>
      <c r="D181" s="28" t="s">
        <v>44</v>
      </c>
      <c r="E181" s="28">
        <v>44</v>
      </c>
      <c r="F181" s="28">
        <v>500</v>
      </c>
      <c r="G181" s="28">
        <v>20</v>
      </c>
      <c r="H181" s="28" t="s">
        <v>24</v>
      </c>
      <c r="I181" s="29">
        <v>45196</v>
      </c>
      <c r="J181" s="28">
        <f t="shared" si="22"/>
        <v>17600</v>
      </c>
      <c r="K181" s="28">
        <f t="shared" si="23"/>
        <v>2640</v>
      </c>
      <c r="L181" s="28">
        <f t="shared" si="24"/>
        <v>22000</v>
      </c>
      <c r="M181" s="28">
        <f t="shared" si="25"/>
        <v>27</v>
      </c>
      <c r="N181" s="28">
        <f t="shared" si="26"/>
        <v>9</v>
      </c>
      <c r="O181" s="28">
        <f t="shared" si="27"/>
        <v>2023</v>
      </c>
      <c r="P181" s="28" t="str">
        <f t="shared" si="28"/>
        <v>High Price</v>
      </c>
      <c r="Q181" s="28" t="str">
        <f t="shared" si="29"/>
        <v>Bad</v>
      </c>
      <c r="R181" s="28" t="str">
        <f t="shared" si="30"/>
        <v>High Discount</v>
      </c>
      <c r="S181" s="28" t="str">
        <f t="shared" si="31"/>
        <v>No Review Needed</v>
      </c>
      <c r="T181" s="28" t="str">
        <f t="shared" si="32"/>
        <v>No</v>
      </c>
      <c r="U181" s="1"/>
      <c r="V181" s="1"/>
      <c r="W181" s="1"/>
      <c r="X181" s="1"/>
      <c r="Y181" s="1"/>
    </row>
    <row r="182" spans="1:25" ht="15.75" customHeight="1" x14ac:dyDescent="0.35">
      <c r="A182" s="28" t="s">
        <v>222</v>
      </c>
      <c r="B182" s="28" t="s">
        <v>43</v>
      </c>
      <c r="C182" s="28" t="s">
        <v>22</v>
      </c>
      <c r="D182" s="28" t="s">
        <v>23</v>
      </c>
      <c r="E182" s="28">
        <v>36</v>
      </c>
      <c r="F182" s="28">
        <v>1750</v>
      </c>
      <c r="G182" s="28">
        <v>5</v>
      </c>
      <c r="H182" s="28" t="s">
        <v>24</v>
      </c>
      <c r="I182" s="29">
        <v>45257</v>
      </c>
      <c r="J182" s="28">
        <f t="shared" si="22"/>
        <v>59850</v>
      </c>
      <c r="K182" s="28">
        <f t="shared" si="23"/>
        <v>8977.5</v>
      </c>
      <c r="L182" s="28">
        <f t="shared" si="24"/>
        <v>63000</v>
      </c>
      <c r="M182" s="28">
        <f t="shared" si="25"/>
        <v>27</v>
      </c>
      <c r="N182" s="28">
        <f t="shared" si="26"/>
        <v>11</v>
      </c>
      <c r="O182" s="28">
        <f t="shared" si="27"/>
        <v>2023</v>
      </c>
      <c r="P182" s="28" t="str">
        <f t="shared" si="28"/>
        <v>High Price</v>
      </c>
      <c r="Q182" s="28" t="str">
        <f t="shared" si="29"/>
        <v>Good</v>
      </c>
      <c r="R182" s="28" t="str">
        <f t="shared" si="30"/>
        <v>Low Discont</v>
      </c>
      <c r="S182" s="28" t="str">
        <f t="shared" si="31"/>
        <v>No Review Needed</v>
      </c>
      <c r="T182" s="28" t="str">
        <f t="shared" si="32"/>
        <v>So</v>
      </c>
      <c r="U182" s="1"/>
      <c r="V182" s="1"/>
      <c r="W182" s="1"/>
      <c r="X182" s="1"/>
      <c r="Y182" s="1"/>
    </row>
    <row r="183" spans="1:25" ht="15.75" customHeight="1" x14ac:dyDescent="0.35">
      <c r="A183" s="28" t="s">
        <v>223</v>
      </c>
      <c r="B183" s="28" t="s">
        <v>39</v>
      </c>
      <c r="C183" s="28" t="s">
        <v>37</v>
      </c>
      <c r="D183" s="28" t="s">
        <v>47</v>
      </c>
      <c r="E183" s="28">
        <v>16</v>
      </c>
      <c r="F183" s="28">
        <v>250</v>
      </c>
      <c r="G183" s="28">
        <v>10</v>
      </c>
      <c r="H183" s="28" t="s">
        <v>32</v>
      </c>
      <c r="I183" s="29">
        <v>45257</v>
      </c>
      <c r="J183" s="28">
        <f t="shared" si="22"/>
        <v>3600</v>
      </c>
      <c r="K183" s="28">
        <f t="shared" si="23"/>
        <v>540</v>
      </c>
      <c r="L183" s="28">
        <f t="shared" si="24"/>
        <v>4000</v>
      </c>
      <c r="M183" s="28">
        <f t="shared" si="25"/>
        <v>27</v>
      </c>
      <c r="N183" s="28">
        <f t="shared" si="26"/>
        <v>11</v>
      </c>
      <c r="O183" s="28">
        <f t="shared" si="27"/>
        <v>2023</v>
      </c>
      <c r="P183" s="28" t="str">
        <f t="shared" si="28"/>
        <v>Low Price</v>
      </c>
      <c r="Q183" s="28" t="str">
        <f t="shared" si="29"/>
        <v>Bad</v>
      </c>
      <c r="R183" s="28" t="str">
        <f t="shared" si="30"/>
        <v>Low Discont</v>
      </c>
      <c r="S183" s="28" t="str">
        <f t="shared" si="31"/>
        <v>Low Priority Review</v>
      </c>
      <c r="T183" s="28" t="str">
        <f t="shared" si="32"/>
        <v>Ea</v>
      </c>
      <c r="U183" s="1"/>
      <c r="V183" s="1"/>
      <c r="W183" s="1"/>
      <c r="X183" s="1"/>
      <c r="Y183" s="1"/>
    </row>
    <row r="184" spans="1:25" ht="15.75" customHeight="1" x14ac:dyDescent="0.35">
      <c r="A184" s="28" t="s">
        <v>224</v>
      </c>
      <c r="B184" s="28" t="s">
        <v>36</v>
      </c>
      <c r="C184" s="28" t="s">
        <v>37</v>
      </c>
      <c r="D184" s="28" t="s">
        <v>41</v>
      </c>
      <c r="E184" s="28">
        <v>4</v>
      </c>
      <c r="F184" s="28">
        <v>750</v>
      </c>
      <c r="G184" s="28">
        <v>10</v>
      </c>
      <c r="H184" s="28" t="s">
        <v>24</v>
      </c>
      <c r="I184" s="29">
        <v>45287</v>
      </c>
      <c r="J184" s="28">
        <f t="shared" si="22"/>
        <v>2700</v>
      </c>
      <c r="K184" s="28">
        <f t="shared" si="23"/>
        <v>405</v>
      </c>
      <c r="L184" s="28">
        <f t="shared" si="24"/>
        <v>3000</v>
      </c>
      <c r="M184" s="28">
        <f t="shared" si="25"/>
        <v>27</v>
      </c>
      <c r="N184" s="28">
        <f t="shared" si="26"/>
        <v>12</v>
      </c>
      <c r="O184" s="28">
        <f t="shared" si="27"/>
        <v>2023</v>
      </c>
      <c r="P184" s="28" t="str">
        <f t="shared" si="28"/>
        <v>High Price</v>
      </c>
      <c r="Q184" s="28" t="str">
        <f t="shared" si="29"/>
        <v>Bad</v>
      </c>
      <c r="R184" s="28" t="str">
        <f t="shared" si="30"/>
        <v>Low Discont</v>
      </c>
      <c r="S184" s="28" t="str">
        <f t="shared" si="31"/>
        <v>No Review Needed</v>
      </c>
      <c r="T184" s="28" t="str">
        <f t="shared" si="32"/>
        <v>Ea</v>
      </c>
      <c r="U184" s="1"/>
      <c r="V184" s="1"/>
      <c r="W184" s="1"/>
      <c r="X184" s="1"/>
      <c r="Y184" s="1"/>
    </row>
    <row r="185" spans="1:25" ht="15.75" customHeight="1" x14ac:dyDescent="0.35">
      <c r="A185" s="28" t="s">
        <v>225</v>
      </c>
      <c r="B185" s="28" t="s">
        <v>36</v>
      </c>
      <c r="C185" s="28" t="s">
        <v>37</v>
      </c>
      <c r="D185" s="28" t="s">
        <v>47</v>
      </c>
      <c r="E185" s="28">
        <v>13</v>
      </c>
      <c r="F185" s="28">
        <v>750</v>
      </c>
      <c r="G185" s="28">
        <v>0</v>
      </c>
      <c r="H185" s="28" t="s">
        <v>32</v>
      </c>
      <c r="I185" s="29">
        <v>44985</v>
      </c>
      <c r="J185" s="28">
        <f t="shared" si="22"/>
        <v>9750</v>
      </c>
      <c r="K185" s="28">
        <f t="shared" si="23"/>
        <v>1462.5</v>
      </c>
      <c r="L185" s="28">
        <f t="shared" si="24"/>
        <v>9750</v>
      </c>
      <c r="M185" s="28">
        <f t="shared" si="25"/>
        <v>28</v>
      </c>
      <c r="N185" s="28">
        <f t="shared" si="26"/>
        <v>2</v>
      </c>
      <c r="O185" s="28">
        <f t="shared" si="27"/>
        <v>2023</v>
      </c>
      <c r="P185" s="28" t="str">
        <f t="shared" si="28"/>
        <v>High Price</v>
      </c>
      <c r="Q185" s="28" t="str">
        <f t="shared" si="29"/>
        <v>Bad</v>
      </c>
      <c r="R185" s="28" t="str">
        <f t="shared" si="30"/>
        <v>No Discount</v>
      </c>
      <c r="S185" s="28" t="str">
        <f t="shared" si="31"/>
        <v>Low Priority Review</v>
      </c>
      <c r="T185" s="28" t="str">
        <f t="shared" si="32"/>
        <v>Ea</v>
      </c>
      <c r="U185" s="1"/>
      <c r="V185" s="1"/>
      <c r="W185" s="1"/>
      <c r="X185" s="1"/>
      <c r="Y185" s="1"/>
    </row>
    <row r="186" spans="1:25" ht="15.75" customHeight="1" x14ac:dyDescent="0.35">
      <c r="A186" s="28" t="s">
        <v>226</v>
      </c>
      <c r="B186" s="28" t="s">
        <v>29</v>
      </c>
      <c r="C186" s="28" t="s">
        <v>37</v>
      </c>
      <c r="D186" s="28" t="s">
        <v>41</v>
      </c>
      <c r="E186" s="28">
        <v>6</v>
      </c>
      <c r="F186" s="28">
        <v>5000</v>
      </c>
      <c r="G186" s="28">
        <v>15</v>
      </c>
      <c r="H186" s="28" t="s">
        <v>24</v>
      </c>
      <c r="I186" s="29">
        <v>44985</v>
      </c>
      <c r="J186" s="28">
        <f t="shared" si="22"/>
        <v>25500</v>
      </c>
      <c r="K186" s="28">
        <f t="shared" si="23"/>
        <v>3825</v>
      </c>
      <c r="L186" s="28">
        <f t="shared" si="24"/>
        <v>30000</v>
      </c>
      <c r="M186" s="28">
        <f t="shared" si="25"/>
        <v>28</v>
      </c>
      <c r="N186" s="28">
        <f t="shared" si="26"/>
        <v>2</v>
      </c>
      <c r="O186" s="28">
        <f t="shared" si="27"/>
        <v>2023</v>
      </c>
      <c r="P186" s="28" t="str">
        <f t="shared" si="28"/>
        <v>High Price</v>
      </c>
      <c r="Q186" s="28" t="str">
        <f t="shared" si="29"/>
        <v>Good</v>
      </c>
      <c r="R186" s="28" t="str">
        <f t="shared" si="30"/>
        <v>High Discount</v>
      </c>
      <c r="S186" s="28" t="str">
        <f t="shared" si="31"/>
        <v>No Review Needed</v>
      </c>
      <c r="T186" s="28" t="str">
        <f t="shared" si="32"/>
        <v>Ea</v>
      </c>
      <c r="U186" s="1"/>
      <c r="V186" s="1"/>
      <c r="W186" s="1"/>
      <c r="X186" s="1"/>
      <c r="Y186" s="1"/>
    </row>
    <row r="187" spans="1:25" ht="15.75" customHeight="1" x14ac:dyDescent="0.35">
      <c r="A187" s="28" t="s">
        <v>227</v>
      </c>
      <c r="B187" s="28" t="s">
        <v>34</v>
      </c>
      <c r="C187" s="28" t="s">
        <v>22</v>
      </c>
      <c r="D187" s="28"/>
      <c r="E187" s="28">
        <v>5</v>
      </c>
      <c r="F187" s="28">
        <v>2000</v>
      </c>
      <c r="G187" s="28">
        <v>5</v>
      </c>
      <c r="H187" s="28" t="s">
        <v>24</v>
      </c>
      <c r="I187" s="29">
        <v>45013</v>
      </c>
      <c r="J187" s="28">
        <f t="shared" si="22"/>
        <v>9500</v>
      </c>
      <c r="K187" s="28">
        <f t="shared" si="23"/>
        <v>1425</v>
      </c>
      <c r="L187" s="28">
        <f t="shared" si="24"/>
        <v>10000</v>
      </c>
      <c r="M187" s="28">
        <f t="shared" si="25"/>
        <v>28</v>
      </c>
      <c r="N187" s="28">
        <f t="shared" si="26"/>
        <v>3</v>
      </c>
      <c r="O187" s="28">
        <f t="shared" si="27"/>
        <v>2023</v>
      </c>
      <c r="P187" s="28" t="str">
        <f t="shared" si="28"/>
        <v>High Price</v>
      </c>
      <c r="Q187" s="28" t="str">
        <f t="shared" si="29"/>
        <v>Bad</v>
      </c>
      <c r="R187" s="28" t="str">
        <f t="shared" si="30"/>
        <v>Low Discont</v>
      </c>
      <c r="S187" s="28" t="str">
        <f t="shared" si="31"/>
        <v>No Review Needed</v>
      </c>
      <c r="T187" s="28" t="str">
        <f t="shared" si="32"/>
        <v>So</v>
      </c>
      <c r="U187" s="1"/>
      <c r="V187" s="1"/>
      <c r="W187" s="1"/>
      <c r="X187" s="1"/>
      <c r="Y187" s="1"/>
    </row>
    <row r="188" spans="1:25" ht="15.75" customHeight="1" x14ac:dyDescent="0.35">
      <c r="A188" s="28" t="s">
        <v>228</v>
      </c>
      <c r="B188" s="28" t="s">
        <v>29</v>
      </c>
      <c r="C188" s="28" t="s">
        <v>26</v>
      </c>
      <c r="D188" s="28" t="s">
        <v>44</v>
      </c>
      <c r="E188" s="28">
        <v>5</v>
      </c>
      <c r="F188" s="28">
        <v>5000</v>
      </c>
      <c r="G188" s="28">
        <v>5</v>
      </c>
      <c r="H188" s="28" t="s">
        <v>24</v>
      </c>
      <c r="I188" s="29">
        <v>45013</v>
      </c>
      <c r="J188" s="28">
        <f t="shared" si="22"/>
        <v>23750</v>
      </c>
      <c r="K188" s="28">
        <f t="shared" si="23"/>
        <v>3562.5</v>
      </c>
      <c r="L188" s="28">
        <f t="shared" si="24"/>
        <v>25000</v>
      </c>
      <c r="M188" s="28">
        <f t="shared" si="25"/>
        <v>28</v>
      </c>
      <c r="N188" s="28">
        <f t="shared" si="26"/>
        <v>3</v>
      </c>
      <c r="O188" s="28">
        <f t="shared" si="27"/>
        <v>2023</v>
      </c>
      <c r="P188" s="28" t="str">
        <f t="shared" si="28"/>
        <v>High Price</v>
      </c>
      <c r="Q188" s="28" t="str">
        <f t="shared" si="29"/>
        <v>Good</v>
      </c>
      <c r="R188" s="28" t="str">
        <f t="shared" si="30"/>
        <v>Low Discont</v>
      </c>
      <c r="S188" s="28" t="str">
        <f t="shared" si="31"/>
        <v>No Review Needed</v>
      </c>
      <c r="T188" s="28" t="str">
        <f t="shared" si="32"/>
        <v>No</v>
      </c>
      <c r="U188" s="1"/>
      <c r="V188" s="1"/>
      <c r="W188" s="1"/>
      <c r="X188" s="1"/>
      <c r="Y188" s="1"/>
    </row>
    <row r="189" spans="1:25" ht="15.75" customHeight="1" x14ac:dyDescent="0.35">
      <c r="A189" s="28" t="s">
        <v>229</v>
      </c>
      <c r="B189" s="28" t="s">
        <v>39</v>
      </c>
      <c r="C189" s="28" t="s">
        <v>37</v>
      </c>
      <c r="D189" s="28" t="s">
        <v>47</v>
      </c>
      <c r="E189" s="28">
        <v>12</v>
      </c>
      <c r="F189" s="28">
        <v>250</v>
      </c>
      <c r="G189" s="28">
        <v>20</v>
      </c>
      <c r="H189" s="28" t="s">
        <v>32</v>
      </c>
      <c r="I189" s="29">
        <v>45074</v>
      </c>
      <c r="J189" s="28">
        <f t="shared" si="22"/>
        <v>2400</v>
      </c>
      <c r="K189" s="28">
        <f t="shared" si="23"/>
        <v>360</v>
      </c>
      <c r="L189" s="28">
        <f t="shared" si="24"/>
        <v>3000</v>
      </c>
      <c r="M189" s="28">
        <f t="shared" si="25"/>
        <v>28</v>
      </c>
      <c r="N189" s="28">
        <f t="shared" si="26"/>
        <v>5</v>
      </c>
      <c r="O189" s="28">
        <f t="shared" si="27"/>
        <v>2023</v>
      </c>
      <c r="P189" s="28" t="str">
        <f t="shared" si="28"/>
        <v>Low Price</v>
      </c>
      <c r="Q189" s="28" t="str">
        <f t="shared" si="29"/>
        <v>Bad</v>
      </c>
      <c r="R189" s="28" t="str">
        <f t="shared" si="30"/>
        <v>High Discount</v>
      </c>
      <c r="S189" s="28" t="str">
        <f t="shared" si="31"/>
        <v>High Priority Review</v>
      </c>
      <c r="T189" s="28" t="str">
        <f t="shared" si="32"/>
        <v>Ea</v>
      </c>
      <c r="U189" s="1"/>
      <c r="V189" s="1"/>
      <c r="W189" s="1"/>
      <c r="X189" s="1"/>
      <c r="Y189" s="1"/>
    </row>
    <row r="190" spans="1:25" ht="15.75" customHeight="1" x14ac:dyDescent="0.35">
      <c r="A190" s="28" t="s">
        <v>230</v>
      </c>
      <c r="B190" s="28" t="s">
        <v>29</v>
      </c>
      <c r="C190" s="28" t="s">
        <v>26</v>
      </c>
      <c r="D190" s="28" t="s">
        <v>27</v>
      </c>
      <c r="E190" s="28">
        <v>8</v>
      </c>
      <c r="F190" s="28">
        <v>5000</v>
      </c>
      <c r="G190" s="28">
        <v>10</v>
      </c>
      <c r="H190" s="28" t="s">
        <v>24</v>
      </c>
      <c r="I190" s="29">
        <v>45227</v>
      </c>
      <c r="J190" s="28">
        <f t="shared" si="22"/>
        <v>36000</v>
      </c>
      <c r="K190" s="28">
        <f t="shared" si="23"/>
        <v>5400</v>
      </c>
      <c r="L190" s="28">
        <f t="shared" si="24"/>
        <v>40000</v>
      </c>
      <c r="M190" s="28">
        <f t="shared" si="25"/>
        <v>28</v>
      </c>
      <c r="N190" s="28">
        <f t="shared" si="26"/>
        <v>10</v>
      </c>
      <c r="O190" s="28">
        <f t="shared" si="27"/>
        <v>2023</v>
      </c>
      <c r="P190" s="28" t="str">
        <f t="shared" si="28"/>
        <v>High Price</v>
      </c>
      <c r="Q190" s="28" t="str">
        <f t="shared" si="29"/>
        <v>Good</v>
      </c>
      <c r="R190" s="28" t="str">
        <f t="shared" si="30"/>
        <v>Low Discont</v>
      </c>
      <c r="S190" s="28" t="str">
        <f t="shared" si="31"/>
        <v>No Review Needed</v>
      </c>
      <c r="T190" s="28" t="str">
        <f t="shared" si="32"/>
        <v>No</v>
      </c>
      <c r="U190" s="1"/>
      <c r="V190" s="1"/>
      <c r="W190" s="1"/>
      <c r="X190" s="1"/>
      <c r="Y190" s="1"/>
    </row>
    <row r="191" spans="1:25" ht="15.75" customHeight="1" x14ac:dyDescent="0.35">
      <c r="A191" s="28" t="s">
        <v>231</v>
      </c>
      <c r="B191" s="28" t="s">
        <v>43</v>
      </c>
      <c r="C191" s="28" t="s">
        <v>30</v>
      </c>
      <c r="D191" s="28" t="s">
        <v>31</v>
      </c>
      <c r="E191" s="28">
        <v>28</v>
      </c>
      <c r="F191" s="28">
        <v>1750</v>
      </c>
      <c r="G191" s="28">
        <v>20</v>
      </c>
      <c r="H191" s="28" t="s">
        <v>32</v>
      </c>
      <c r="I191" s="29">
        <v>45258</v>
      </c>
      <c r="J191" s="28">
        <f t="shared" si="22"/>
        <v>39200</v>
      </c>
      <c r="K191" s="28">
        <f t="shared" si="23"/>
        <v>5880</v>
      </c>
      <c r="L191" s="28">
        <f t="shared" si="24"/>
        <v>49000</v>
      </c>
      <c r="M191" s="28">
        <f t="shared" si="25"/>
        <v>28</v>
      </c>
      <c r="N191" s="28">
        <f t="shared" si="26"/>
        <v>11</v>
      </c>
      <c r="O191" s="28">
        <f t="shared" si="27"/>
        <v>2023</v>
      </c>
      <c r="P191" s="28" t="str">
        <f t="shared" si="28"/>
        <v>High Price</v>
      </c>
      <c r="Q191" s="28" t="str">
        <f t="shared" si="29"/>
        <v>Good</v>
      </c>
      <c r="R191" s="28" t="str">
        <f t="shared" si="30"/>
        <v>High Discount</v>
      </c>
      <c r="S191" s="28" t="str">
        <f t="shared" si="31"/>
        <v>High Priority Review</v>
      </c>
      <c r="T191" s="28" t="str">
        <f t="shared" si="32"/>
        <v>We</v>
      </c>
      <c r="U191" s="1"/>
      <c r="V191" s="1"/>
      <c r="W191" s="1"/>
      <c r="X191" s="1"/>
      <c r="Y191" s="1"/>
    </row>
    <row r="192" spans="1:25" ht="15.75" customHeight="1" x14ac:dyDescent="0.35">
      <c r="A192" s="28" t="s">
        <v>232</v>
      </c>
      <c r="B192" s="28" t="s">
        <v>43</v>
      </c>
      <c r="C192" s="28" t="s">
        <v>30</v>
      </c>
      <c r="D192" s="28" t="s">
        <v>74</v>
      </c>
      <c r="E192" s="28">
        <v>6</v>
      </c>
      <c r="F192" s="28">
        <v>1750</v>
      </c>
      <c r="G192" s="28">
        <v>0</v>
      </c>
      <c r="H192" s="28" t="s">
        <v>24</v>
      </c>
      <c r="I192" s="29">
        <v>45106</v>
      </c>
      <c r="J192" s="28">
        <f t="shared" si="22"/>
        <v>10500</v>
      </c>
      <c r="K192" s="28">
        <f t="shared" si="23"/>
        <v>1575</v>
      </c>
      <c r="L192" s="28">
        <f t="shared" si="24"/>
        <v>10500</v>
      </c>
      <c r="M192" s="28">
        <f t="shared" si="25"/>
        <v>29</v>
      </c>
      <c r="N192" s="28">
        <f t="shared" si="26"/>
        <v>6</v>
      </c>
      <c r="O192" s="28">
        <f t="shared" si="27"/>
        <v>2023</v>
      </c>
      <c r="P192" s="28" t="str">
        <f t="shared" si="28"/>
        <v>High Price</v>
      </c>
      <c r="Q192" s="28" t="str">
        <f t="shared" si="29"/>
        <v>Bad</v>
      </c>
      <c r="R192" s="28" t="str">
        <f t="shared" si="30"/>
        <v>No Discount</v>
      </c>
      <c r="S192" s="28" t="str">
        <f t="shared" si="31"/>
        <v>No Review Needed</v>
      </c>
      <c r="T192" s="28" t="str">
        <f t="shared" si="32"/>
        <v>We</v>
      </c>
      <c r="U192" s="1"/>
      <c r="V192" s="1"/>
      <c r="W192" s="1"/>
      <c r="X192" s="1"/>
      <c r="Y192" s="1"/>
    </row>
    <row r="193" spans="1:25" ht="15.75" customHeight="1" x14ac:dyDescent="0.35">
      <c r="A193" s="28" t="s">
        <v>233</v>
      </c>
      <c r="B193" s="28" t="s">
        <v>54</v>
      </c>
      <c r="C193" s="28" t="s">
        <v>26</v>
      </c>
      <c r="D193" s="28" t="s">
        <v>44</v>
      </c>
      <c r="E193" s="28">
        <v>21</v>
      </c>
      <c r="F193" s="28">
        <v>1000</v>
      </c>
      <c r="G193" s="28">
        <v>0</v>
      </c>
      <c r="H193" s="28" t="s">
        <v>32</v>
      </c>
      <c r="I193" s="29">
        <v>45106</v>
      </c>
      <c r="J193" s="28">
        <f t="shared" si="22"/>
        <v>21000</v>
      </c>
      <c r="K193" s="28">
        <f t="shared" si="23"/>
        <v>3150</v>
      </c>
      <c r="L193" s="28">
        <f t="shared" si="24"/>
        <v>21000</v>
      </c>
      <c r="M193" s="28">
        <f t="shared" si="25"/>
        <v>29</v>
      </c>
      <c r="N193" s="28">
        <f t="shared" si="26"/>
        <v>6</v>
      </c>
      <c r="O193" s="28">
        <f t="shared" si="27"/>
        <v>2023</v>
      </c>
      <c r="P193" s="28" t="str">
        <f t="shared" si="28"/>
        <v>High Price</v>
      </c>
      <c r="Q193" s="28" t="str">
        <f t="shared" si="29"/>
        <v>Good</v>
      </c>
      <c r="R193" s="28" t="str">
        <f t="shared" si="30"/>
        <v>No Discount</v>
      </c>
      <c r="S193" s="28" t="str">
        <f t="shared" si="31"/>
        <v>Low Priority Review</v>
      </c>
      <c r="T193" s="28" t="str">
        <f t="shared" si="32"/>
        <v>No</v>
      </c>
      <c r="U193" s="1"/>
      <c r="V193" s="1"/>
      <c r="W193" s="1"/>
      <c r="X193" s="1"/>
      <c r="Y193" s="1"/>
    </row>
    <row r="194" spans="1:25" ht="15.75" customHeight="1" x14ac:dyDescent="0.35">
      <c r="A194" s="28" t="s">
        <v>234</v>
      </c>
      <c r="B194" s="28" t="s">
        <v>54</v>
      </c>
      <c r="C194" s="28" t="s">
        <v>26</v>
      </c>
      <c r="D194" s="28" t="s">
        <v>27</v>
      </c>
      <c r="E194" s="28">
        <v>18</v>
      </c>
      <c r="F194" s="28">
        <v>1000</v>
      </c>
      <c r="G194" s="28">
        <v>10</v>
      </c>
      <c r="H194" s="28" t="s">
        <v>24</v>
      </c>
      <c r="I194" s="29">
        <v>45106</v>
      </c>
      <c r="J194" s="28">
        <f t="shared" si="22"/>
        <v>16200</v>
      </c>
      <c r="K194" s="28">
        <f t="shared" si="23"/>
        <v>2430</v>
      </c>
      <c r="L194" s="28">
        <f t="shared" si="24"/>
        <v>18000</v>
      </c>
      <c r="M194" s="28">
        <f t="shared" si="25"/>
        <v>29</v>
      </c>
      <c r="N194" s="28">
        <f t="shared" si="26"/>
        <v>6</v>
      </c>
      <c r="O194" s="28">
        <f t="shared" si="27"/>
        <v>2023</v>
      </c>
      <c r="P194" s="28" t="str">
        <f t="shared" si="28"/>
        <v>High Price</v>
      </c>
      <c r="Q194" s="28" t="str">
        <f t="shared" si="29"/>
        <v>Bad</v>
      </c>
      <c r="R194" s="28" t="str">
        <f t="shared" si="30"/>
        <v>Low Discont</v>
      </c>
      <c r="S194" s="28" t="str">
        <f t="shared" si="31"/>
        <v>No Review Needed</v>
      </c>
      <c r="T194" s="28" t="str">
        <f t="shared" si="32"/>
        <v>No</v>
      </c>
      <c r="U194" s="1"/>
      <c r="V194" s="1"/>
      <c r="W194" s="1"/>
      <c r="X194" s="1"/>
      <c r="Y194" s="1"/>
    </row>
    <row r="195" spans="1:25" ht="15.75" customHeight="1" x14ac:dyDescent="0.35">
      <c r="A195" s="28" t="s">
        <v>235</v>
      </c>
      <c r="B195" s="28" t="s">
        <v>36</v>
      </c>
      <c r="C195" s="28" t="s">
        <v>30</v>
      </c>
      <c r="D195" s="28" t="s">
        <v>74</v>
      </c>
      <c r="E195" s="28">
        <v>10</v>
      </c>
      <c r="F195" s="28">
        <v>750</v>
      </c>
      <c r="G195" s="28"/>
      <c r="H195" s="28" t="s">
        <v>32</v>
      </c>
      <c r="I195" s="29">
        <v>45198</v>
      </c>
      <c r="J195" s="28">
        <f t="shared" ref="J195:J201" si="33">E195*F195*(1-G195/100)</f>
        <v>7500</v>
      </c>
      <c r="K195" s="28">
        <f t="shared" ref="K195:K201" si="34">ROUND(J195*15%,2)</f>
        <v>1125</v>
      </c>
      <c r="L195" s="28">
        <f t="shared" ref="L195:L201" si="35">E195*F195</f>
        <v>7500</v>
      </c>
      <c r="M195" s="28">
        <f t="shared" ref="M195:M201" si="36">DAY(I195)</f>
        <v>29</v>
      </c>
      <c r="N195" s="28">
        <f t="shared" ref="N195:N201" si="37">MONTH(I195)</f>
        <v>9</v>
      </c>
      <c r="O195" s="28">
        <f t="shared" ref="O195:O201" si="38">YEAR(I195)</f>
        <v>2023</v>
      </c>
      <c r="P195" s="28" t="str">
        <f t="shared" ref="P195:P201" si="39">IF(F195&lt;500,"Low Price","High Price")</f>
        <v>High Price</v>
      </c>
      <c r="Q195" s="28" t="str">
        <f t="shared" ref="Q195:Q201" si="40">IF(J195&gt;=AVERAGE(J:J),"Good","Bad")</f>
        <v>Bad</v>
      </c>
      <c r="R195" s="28" t="str">
        <f t="shared" ref="R195:R201" si="41">IF(G195&gt;10,"High Discount",IF(G195=0,"No Discount","Low Discont"))</f>
        <v>No Discount</v>
      </c>
      <c r="S195" s="28" t="str">
        <f t="shared" ref="S195:S201" si="42">IF(AND(H195="Yes",G195&gt;10),"High Priority Review",IF(H195="Yes","Low Priority Review","No Review Needed"))</f>
        <v>Low Priority Review</v>
      </c>
      <c r="T195" s="28" t="str">
        <f t="shared" ref="T195:T201" si="43">LEFT(C195,2)</f>
        <v>We</v>
      </c>
      <c r="U195" s="1"/>
      <c r="V195" s="1"/>
      <c r="W195" s="1"/>
      <c r="X195" s="1"/>
      <c r="Y195" s="1"/>
    </row>
    <row r="196" spans="1:25" ht="15.75" customHeight="1" x14ac:dyDescent="0.35">
      <c r="A196" s="28" t="s">
        <v>236</v>
      </c>
      <c r="B196" s="28" t="s">
        <v>57</v>
      </c>
      <c r="C196" s="28" t="s">
        <v>30</v>
      </c>
      <c r="D196" s="28" t="s">
        <v>31</v>
      </c>
      <c r="E196" s="28">
        <v>12</v>
      </c>
      <c r="F196" s="28">
        <v>3000</v>
      </c>
      <c r="G196" s="28">
        <v>15</v>
      </c>
      <c r="H196" s="28" t="s">
        <v>24</v>
      </c>
      <c r="I196" s="29">
        <v>45259</v>
      </c>
      <c r="J196" s="28">
        <f t="shared" si="33"/>
        <v>30600</v>
      </c>
      <c r="K196" s="28">
        <f t="shared" si="34"/>
        <v>4590</v>
      </c>
      <c r="L196" s="28">
        <f t="shared" si="35"/>
        <v>36000</v>
      </c>
      <c r="M196" s="28">
        <f t="shared" si="36"/>
        <v>29</v>
      </c>
      <c r="N196" s="28">
        <f t="shared" si="37"/>
        <v>11</v>
      </c>
      <c r="O196" s="28">
        <f t="shared" si="38"/>
        <v>2023</v>
      </c>
      <c r="P196" s="28" t="str">
        <f t="shared" si="39"/>
        <v>High Price</v>
      </c>
      <c r="Q196" s="28" t="str">
        <f t="shared" si="40"/>
        <v>Good</v>
      </c>
      <c r="R196" s="28" t="str">
        <f t="shared" si="41"/>
        <v>High Discount</v>
      </c>
      <c r="S196" s="28" t="str">
        <f t="shared" si="42"/>
        <v>No Review Needed</v>
      </c>
      <c r="T196" s="28" t="str">
        <f t="shared" si="43"/>
        <v>We</v>
      </c>
      <c r="U196" s="1"/>
      <c r="V196" s="1"/>
      <c r="W196" s="1"/>
      <c r="X196" s="1"/>
      <c r="Y196" s="1"/>
    </row>
    <row r="197" spans="1:25" ht="15.75" customHeight="1" x14ac:dyDescent="0.35">
      <c r="A197" s="28" t="s">
        <v>237</v>
      </c>
      <c r="B197" s="28" t="s">
        <v>34</v>
      </c>
      <c r="C197" s="28" t="s">
        <v>37</v>
      </c>
      <c r="D197" s="28" t="s">
        <v>41</v>
      </c>
      <c r="E197" s="28">
        <v>1</v>
      </c>
      <c r="F197" s="28">
        <v>2000</v>
      </c>
      <c r="G197" s="28">
        <v>0</v>
      </c>
      <c r="H197" s="28" t="s">
        <v>32</v>
      </c>
      <c r="I197" s="29">
        <v>45168</v>
      </c>
      <c r="J197" s="28">
        <f t="shared" si="33"/>
        <v>2000</v>
      </c>
      <c r="K197" s="28">
        <f t="shared" si="34"/>
        <v>300</v>
      </c>
      <c r="L197" s="28">
        <f t="shared" si="35"/>
        <v>2000</v>
      </c>
      <c r="M197" s="28">
        <f t="shared" si="36"/>
        <v>30</v>
      </c>
      <c r="N197" s="28">
        <f t="shared" si="37"/>
        <v>8</v>
      </c>
      <c r="O197" s="28">
        <f t="shared" si="38"/>
        <v>2023</v>
      </c>
      <c r="P197" s="28" t="str">
        <f t="shared" si="39"/>
        <v>High Price</v>
      </c>
      <c r="Q197" s="28" t="str">
        <f t="shared" si="40"/>
        <v>Bad</v>
      </c>
      <c r="R197" s="28" t="str">
        <f t="shared" si="41"/>
        <v>No Discount</v>
      </c>
      <c r="S197" s="28" t="str">
        <f t="shared" si="42"/>
        <v>Low Priority Review</v>
      </c>
      <c r="T197" s="28" t="str">
        <f t="shared" si="43"/>
        <v>Ea</v>
      </c>
      <c r="U197" s="1"/>
      <c r="V197" s="1"/>
      <c r="W197" s="1"/>
      <c r="X197" s="1"/>
      <c r="Y197" s="1"/>
    </row>
    <row r="198" spans="1:25" ht="15.75" customHeight="1" x14ac:dyDescent="0.35">
      <c r="A198" s="28" t="s">
        <v>238</v>
      </c>
      <c r="B198" s="28" t="s">
        <v>34</v>
      </c>
      <c r="C198" s="28" t="s">
        <v>37</v>
      </c>
      <c r="D198" s="28" t="s">
        <v>47</v>
      </c>
      <c r="E198" s="28">
        <v>3</v>
      </c>
      <c r="F198" s="28">
        <v>2000</v>
      </c>
      <c r="G198" s="28">
        <v>20</v>
      </c>
      <c r="H198" s="28" t="s">
        <v>24</v>
      </c>
      <c r="I198" s="29">
        <v>45260</v>
      </c>
      <c r="J198" s="28">
        <f t="shared" si="33"/>
        <v>4800</v>
      </c>
      <c r="K198" s="28">
        <f t="shared" si="34"/>
        <v>720</v>
      </c>
      <c r="L198" s="28">
        <f t="shared" si="35"/>
        <v>6000</v>
      </c>
      <c r="M198" s="28">
        <f t="shared" si="36"/>
        <v>30</v>
      </c>
      <c r="N198" s="28">
        <f t="shared" si="37"/>
        <v>11</v>
      </c>
      <c r="O198" s="28">
        <f t="shared" si="38"/>
        <v>2023</v>
      </c>
      <c r="P198" s="28" t="str">
        <f t="shared" si="39"/>
        <v>High Price</v>
      </c>
      <c r="Q198" s="28" t="str">
        <f t="shared" si="40"/>
        <v>Bad</v>
      </c>
      <c r="R198" s="28" t="str">
        <f t="shared" si="41"/>
        <v>High Discount</v>
      </c>
      <c r="S198" s="28" t="str">
        <f t="shared" si="42"/>
        <v>No Review Needed</v>
      </c>
      <c r="T198" s="28" t="str">
        <f t="shared" si="43"/>
        <v>Ea</v>
      </c>
      <c r="U198" s="1"/>
      <c r="V198" s="1"/>
      <c r="W198" s="1"/>
      <c r="X198" s="1"/>
      <c r="Y198" s="1"/>
    </row>
    <row r="199" spans="1:25" ht="15.75" customHeight="1" x14ac:dyDescent="0.35">
      <c r="A199" s="28" t="s">
        <v>239</v>
      </c>
      <c r="B199" s="28" t="s">
        <v>39</v>
      </c>
      <c r="C199" s="28" t="s">
        <v>22</v>
      </c>
      <c r="D199" s="28" t="s">
        <v>77</v>
      </c>
      <c r="E199" s="28">
        <v>22</v>
      </c>
      <c r="F199" s="28">
        <v>250</v>
      </c>
      <c r="G199" s="28">
        <v>20</v>
      </c>
      <c r="H199" s="28" t="s">
        <v>32</v>
      </c>
      <c r="I199" s="29">
        <v>45290</v>
      </c>
      <c r="J199" s="28">
        <f t="shared" si="33"/>
        <v>4400</v>
      </c>
      <c r="K199" s="28">
        <f t="shared" si="34"/>
        <v>660</v>
      </c>
      <c r="L199" s="28">
        <f t="shared" si="35"/>
        <v>5500</v>
      </c>
      <c r="M199" s="28">
        <f t="shared" si="36"/>
        <v>30</v>
      </c>
      <c r="N199" s="28">
        <f t="shared" si="37"/>
        <v>12</v>
      </c>
      <c r="O199" s="28">
        <f t="shared" si="38"/>
        <v>2023</v>
      </c>
      <c r="P199" s="28" t="str">
        <f t="shared" si="39"/>
        <v>Low Price</v>
      </c>
      <c r="Q199" s="28" t="str">
        <f t="shared" si="40"/>
        <v>Bad</v>
      </c>
      <c r="R199" s="28" t="str">
        <f t="shared" si="41"/>
        <v>High Discount</v>
      </c>
      <c r="S199" s="28" t="str">
        <f t="shared" si="42"/>
        <v>High Priority Review</v>
      </c>
      <c r="T199" s="28" t="str">
        <f t="shared" si="43"/>
        <v>So</v>
      </c>
      <c r="U199" s="1"/>
      <c r="V199" s="1"/>
      <c r="W199" s="1"/>
      <c r="X199" s="1"/>
      <c r="Y199" s="1"/>
    </row>
    <row r="200" spans="1:25" ht="15.75" customHeight="1" x14ac:dyDescent="0.35">
      <c r="A200" s="28" t="s">
        <v>240</v>
      </c>
      <c r="B200" s="28" t="s">
        <v>57</v>
      </c>
      <c r="C200" s="28" t="s">
        <v>26</v>
      </c>
      <c r="D200" s="28" t="s">
        <v>27</v>
      </c>
      <c r="E200" s="28">
        <v>20</v>
      </c>
      <c r="F200" s="28">
        <v>3000</v>
      </c>
      <c r="G200" s="28">
        <v>10</v>
      </c>
      <c r="H200" s="28" t="s">
        <v>24</v>
      </c>
      <c r="I200" s="29">
        <v>45016</v>
      </c>
      <c r="J200" s="28">
        <f t="shared" si="33"/>
        <v>54000</v>
      </c>
      <c r="K200" s="28">
        <f t="shared" si="34"/>
        <v>8100</v>
      </c>
      <c r="L200" s="28">
        <f t="shared" si="35"/>
        <v>60000</v>
      </c>
      <c r="M200" s="28">
        <f t="shared" si="36"/>
        <v>31</v>
      </c>
      <c r="N200" s="28">
        <f t="shared" si="37"/>
        <v>3</v>
      </c>
      <c r="O200" s="28">
        <f t="shared" si="38"/>
        <v>2023</v>
      </c>
      <c r="P200" s="28" t="str">
        <f t="shared" si="39"/>
        <v>High Price</v>
      </c>
      <c r="Q200" s="28" t="str">
        <f t="shared" si="40"/>
        <v>Good</v>
      </c>
      <c r="R200" s="28" t="str">
        <f t="shared" si="41"/>
        <v>Low Discont</v>
      </c>
      <c r="S200" s="28" t="str">
        <f t="shared" si="42"/>
        <v>No Review Needed</v>
      </c>
      <c r="T200" s="28" t="str">
        <f t="shared" si="43"/>
        <v>No</v>
      </c>
      <c r="U200" s="1"/>
      <c r="V200" s="1"/>
      <c r="W200" s="1"/>
      <c r="X200" s="1"/>
      <c r="Y200" s="1"/>
    </row>
    <row r="201" spans="1:25" ht="15.75" customHeight="1" x14ac:dyDescent="0.35">
      <c r="A201" s="28" t="s">
        <v>241</v>
      </c>
      <c r="B201" s="28" t="s">
        <v>36</v>
      </c>
      <c r="C201" s="28" t="s">
        <v>22</v>
      </c>
      <c r="D201" s="28" t="s">
        <v>77</v>
      </c>
      <c r="E201" s="28">
        <v>9</v>
      </c>
      <c r="F201" s="28">
        <v>750</v>
      </c>
      <c r="G201" s="28">
        <v>15</v>
      </c>
      <c r="H201" s="28" t="s">
        <v>32</v>
      </c>
      <c r="I201" s="29">
        <v>45077</v>
      </c>
      <c r="J201" s="28">
        <f t="shared" si="33"/>
        <v>5737.5</v>
      </c>
      <c r="K201" s="28">
        <f t="shared" si="34"/>
        <v>860.63</v>
      </c>
      <c r="L201" s="28">
        <f t="shared" si="35"/>
        <v>6750</v>
      </c>
      <c r="M201" s="28">
        <f t="shared" si="36"/>
        <v>31</v>
      </c>
      <c r="N201" s="28">
        <f t="shared" si="37"/>
        <v>5</v>
      </c>
      <c r="O201" s="28">
        <f t="shared" si="38"/>
        <v>2023</v>
      </c>
      <c r="P201" s="28" t="str">
        <f t="shared" si="39"/>
        <v>High Price</v>
      </c>
      <c r="Q201" s="28" t="str">
        <f t="shared" si="40"/>
        <v>Bad</v>
      </c>
      <c r="R201" s="28" t="str">
        <f t="shared" si="41"/>
        <v>High Discount</v>
      </c>
      <c r="S201" s="28" t="str">
        <f t="shared" si="42"/>
        <v>High Priority Review</v>
      </c>
      <c r="T201" s="28" t="str">
        <f t="shared" si="43"/>
        <v>So</v>
      </c>
      <c r="U201" s="1"/>
      <c r="V201" s="1"/>
      <c r="W201" s="1"/>
      <c r="X201" s="1"/>
      <c r="Y201" s="1"/>
    </row>
    <row r="202" spans="1:25" ht="15.75" customHeight="1" x14ac:dyDescent="0.35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1"/>
      <c r="V202" s="1"/>
      <c r="W202" s="1"/>
      <c r="X202" s="1"/>
      <c r="Y202" s="1"/>
    </row>
    <row r="203" spans="1:25" ht="15.75" customHeight="1" x14ac:dyDescent="0.35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1"/>
      <c r="V203" s="1"/>
      <c r="W203" s="1"/>
      <c r="X203" s="1"/>
      <c r="Y203" s="1"/>
    </row>
    <row r="204" spans="1:25" ht="15.75" customHeight="1" x14ac:dyDescent="0.35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1"/>
      <c r="V204" s="1"/>
      <c r="W204" s="1"/>
      <c r="X204" s="1"/>
      <c r="Y204" s="1"/>
    </row>
    <row r="205" spans="1:25" ht="15.75" customHeight="1" x14ac:dyDescent="0.3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1"/>
      <c r="V205" s="1"/>
      <c r="W205" s="1"/>
      <c r="X205" s="1"/>
      <c r="Y205" s="1"/>
    </row>
    <row r="206" spans="1:25" ht="15.75" customHeight="1" x14ac:dyDescent="0.35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1"/>
      <c r="V206" s="1"/>
      <c r="W206" s="1"/>
      <c r="X206" s="1"/>
      <c r="Y206" s="1"/>
    </row>
    <row r="207" spans="1:25" ht="15.75" customHeight="1" x14ac:dyDescent="0.35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1"/>
      <c r="V207" s="1"/>
      <c r="W207" s="1"/>
      <c r="X207" s="1"/>
      <c r="Y207" s="1"/>
    </row>
    <row r="208" spans="1:25" ht="15.75" customHeight="1" x14ac:dyDescent="0.35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1"/>
      <c r="V208" s="1"/>
      <c r="W208" s="1"/>
      <c r="X208" s="1"/>
      <c r="Y208" s="1"/>
    </row>
    <row r="209" spans="1:25" ht="15.75" customHeight="1" x14ac:dyDescent="0.35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1"/>
      <c r="V209" s="1"/>
      <c r="W209" s="1"/>
      <c r="X209" s="1"/>
      <c r="Y209" s="1"/>
    </row>
    <row r="210" spans="1:25" ht="15.75" customHeight="1" x14ac:dyDescent="0.35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1"/>
      <c r="V210" s="1"/>
      <c r="W210" s="1"/>
      <c r="X210" s="1"/>
      <c r="Y210" s="1"/>
    </row>
    <row r="211" spans="1:25" ht="15.75" customHeight="1" x14ac:dyDescent="0.35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1"/>
      <c r="V211" s="1"/>
      <c r="W211" s="1"/>
      <c r="X211" s="1"/>
      <c r="Y211" s="1"/>
    </row>
    <row r="212" spans="1:25" ht="15.75" customHeight="1" x14ac:dyDescent="0.35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1"/>
      <c r="V212" s="1"/>
      <c r="W212" s="1"/>
      <c r="X212" s="1"/>
      <c r="Y212" s="1"/>
    </row>
    <row r="213" spans="1:25" ht="15.75" customHeight="1" x14ac:dyDescent="0.35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1"/>
      <c r="V213" s="1"/>
      <c r="W213" s="1"/>
      <c r="X213" s="1"/>
      <c r="Y213" s="1"/>
    </row>
    <row r="214" spans="1:25" ht="15.75" customHeight="1" x14ac:dyDescent="0.35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1"/>
      <c r="V214" s="1"/>
      <c r="W214" s="1"/>
      <c r="X214" s="1"/>
      <c r="Y214" s="1"/>
    </row>
    <row r="215" spans="1:25" ht="15.75" customHeight="1" x14ac:dyDescent="0.3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1"/>
      <c r="V215" s="1"/>
      <c r="W215" s="1"/>
      <c r="X215" s="1"/>
      <c r="Y215" s="1"/>
    </row>
    <row r="216" spans="1:25" ht="15.75" customHeight="1" x14ac:dyDescent="0.35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1"/>
      <c r="V216" s="1"/>
      <c r="W216" s="1"/>
      <c r="X216" s="1"/>
      <c r="Y216" s="1"/>
    </row>
    <row r="217" spans="1:25" ht="15.75" customHeight="1" x14ac:dyDescent="0.35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1"/>
      <c r="V217" s="1"/>
      <c r="W217" s="1"/>
      <c r="X217" s="1"/>
      <c r="Y217" s="1"/>
    </row>
    <row r="218" spans="1:25" ht="15.75" customHeight="1" x14ac:dyDescent="0.35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1"/>
      <c r="V218" s="1"/>
      <c r="W218" s="1"/>
      <c r="X218" s="1"/>
      <c r="Y218" s="1"/>
    </row>
    <row r="219" spans="1:25" ht="15.75" customHeight="1" x14ac:dyDescent="0.35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1"/>
      <c r="V219" s="1"/>
      <c r="W219" s="1"/>
      <c r="X219" s="1"/>
      <c r="Y219" s="1"/>
    </row>
    <row r="220" spans="1:25" ht="15.75" customHeight="1" x14ac:dyDescent="0.35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1"/>
      <c r="V220" s="1"/>
      <c r="W220" s="1"/>
      <c r="X220" s="1"/>
      <c r="Y220" s="1"/>
    </row>
    <row r="221" spans="1:25" ht="15.75" customHeight="1" x14ac:dyDescent="0.35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1"/>
      <c r="V221" s="1"/>
      <c r="W221" s="1"/>
      <c r="X221" s="1"/>
      <c r="Y221" s="1"/>
    </row>
    <row r="222" spans="1:25" ht="15.75" customHeight="1" x14ac:dyDescent="0.35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1"/>
      <c r="V222" s="1"/>
      <c r="W222" s="1"/>
      <c r="X222" s="1"/>
      <c r="Y222" s="1"/>
    </row>
    <row r="223" spans="1:25" ht="15.75" customHeight="1" x14ac:dyDescent="0.35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1"/>
      <c r="V223" s="1"/>
      <c r="W223" s="1"/>
      <c r="X223" s="1"/>
      <c r="Y223" s="1"/>
    </row>
    <row r="224" spans="1:25" ht="15.75" customHeight="1" x14ac:dyDescent="0.35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1"/>
      <c r="V224" s="1"/>
      <c r="W224" s="1"/>
      <c r="X224" s="1"/>
      <c r="Y224" s="1"/>
    </row>
    <row r="225" spans="1:25" ht="15.75" customHeight="1" x14ac:dyDescent="0.3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1"/>
      <c r="V225" s="1"/>
      <c r="W225" s="1"/>
      <c r="X225" s="1"/>
      <c r="Y225" s="1"/>
    </row>
    <row r="226" spans="1:25" ht="15.75" customHeight="1" x14ac:dyDescent="0.35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1"/>
      <c r="V226" s="1"/>
      <c r="W226" s="1"/>
      <c r="X226" s="1"/>
      <c r="Y226" s="1"/>
    </row>
    <row r="227" spans="1:25" ht="15.75" customHeight="1" x14ac:dyDescent="0.35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1"/>
      <c r="V227" s="1"/>
      <c r="W227" s="1"/>
      <c r="X227" s="1"/>
      <c r="Y227" s="1"/>
    </row>
    <row r="228" spans="1:25" ht="15.75" customHeight="1" x14ac:dyDescent="0.35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1"/>
      <c r="V228" s="1"/>
      <c r="W228" s="1"/>
      <c r="X228" s="1"/>
      <c r="Y228" s="1"/>
    </row>
    <row r="229" spans="1:25" ht="15.75" customHeight="1" x14ac:dyDescent="0.35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1"/>
      <c r="V229" s="1"/>
      <c r="W229" s="1"/>
      <c r="X229" s="1"/>
      <c r="Y229" s="1"/>
    </row>
    <row r="230" spans="1:25" ht="15.75" customHeight="1" x14ac:dyDescent="0.35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1"/>
      <c r="V230" s="1"/>
      <c r="W230" s="1"/>
      <c r="X230" s="1"/>
      <c r="Y230" s="1"/>
    </row>
    <row r="231" spans="1:25" ht="15.75" customHeight="1" x14ac:dyDescent="0.35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1"/>
      <c r="V231" s="1"/>
      <c r="W231" s="1"/>
      <c r="X231" s="1"/>
      <c r="Y231" s="1"/>
    </row>
    <row r="232" spans="1:25" ht="15.75" customHeight="1" x14ac:dyDescent="0.35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1"/>
      <c r="V232" s="1"/>
      <c r="W232" s="1"/>
      <c r="X232" s="1"/>
      <c r="Y232" s="1"/>
    </row>
    <row r="233" spans="1:25" ht="15.75" customHeight="1" x14ac:dyDescent="0.35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1"/>
      <c r="V233" s="1"/>
      <c r="W233" s="1"/>
      <c r="X233" s="1"/>
      <c r="Y233" s="1"/>
    </row>
    <row r="234" spans="1:25" ht="15.75" customHeight="1" x14ac:dyDescent="0.35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1"/>
      <c r="V234" s="1"/>
      <c r="W234" s="1"/>
      <c r="X234" s="1"/>
      <c r="Y234" s="1"/>
    </row>
    <row r="235" spans="1:25" ht="15.75" customHeight="1" x14ac:dyDescent="0.3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1"/>
      <c r="V235" s="1"/>
      <c r="W235" s="1"/>
      <c r="X235" s="1"/>
      <c r="Y235" s="1"/>
    </row>
    <row r="236" spans="1:25" ht="15.75" customHeight="1" x14ac:dyDescent="0.35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1"/>
      <c r="V236" s="1"/>
      <c r="W236" s="1"/>
      <c r="X236" s="1"/>
      <c r="Y236" s="1"/>
    </row>
    <row r="237" spans="1:25" ht="15.75" customHeight="1" x14ac:dyDescent="0.35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1"/>
      <c r="V237" s="1"/>
      <c r="W237" s="1"/>
      <c r="X237" s="1"/>
      <c r="Y237" s="1"/>
    </row>
    <row r="238" spans="1:25" ht="15.75" customHeight="1" x14ac:dyDescent="0.35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1"/>
      <c r="V238" s="1"/>
      <c r="W238" s="1"/>
      <c r="X238" s="1"/>
      <c r="Y238" s="1"/>
    </row>
    <row r="239" spans="1:25" ht="15.75" customHeight="1" x14ac:dyDescent="0.35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1"/>
      <c r="V239" s="1"/>
      <c r="W239" s="1"/>
      <c r="X239" s="1"/>
      <c r="Y239" s="1"/>
    </row>
    <row r="240" spans="1:25" ht="15.75" customHeight="1" x14ac:dyDescent="0.35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1"/>
      <c r="V240" s="1"/>
      <c r="W240" s="1"/>
      <c r="X240" s="1"/>
      <c r="Y240" s="1"/>
    </row>
    <row r="241" spans="1:25" ht="15.75" customHeight="1" x14ac:dyDescent="0.35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1"/>
      <c r="V241" s="1"/>
      <c r="W241" s="1"/>
      <c r="X241" s="1"/>
      <c r="Y241" s="1"/>
    </row>
    <row r="242" spans="1:25" ht="15.75" customHeight="1" x14ac:dyDescent="0.35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1"/>
      <c r="V242" s="1"/>
      <c r="W242" s="1"/>
      <c r="X242" s="1"/>
      <c r="Y242" s="1"/>
    </row>
    <row r="243" spans="1:25" ht="15.75" customHeight="1" x14ac:dyDescent="0.35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1"/>
      <c r="V243" s="1"/>
      <c r="W243" s="1"/>
      <c r="X243" s="1"/>
      <c r="Y243" s="1"/>
    </row>
    <row r="244" spans="1:25" ht="15.75" customHeight="1" x14ac:dyDescent="0.35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1"/>
      <c r="V244" s="1"/>
      <c r="W244" s="1"/>
      <c r="X244" s="1"/>
      <c r="Y244" s="1"/>
    </row>
    <row r="245" spans="1:25" ht="15.75" customHeight="1" x14ac:dyDescent="0.3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1"/>
      <c r="V245" s="1"/>
      <c r="W245" s="1"/>
      <c r="X245" s="1"/>
      <c r="Y245" s="1"/>
    </row>
    <row r="246" spans="1:25" ht="15.75" customHeight="1" x14ac:dyDescent="0.35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1"/>
      <c r="V246" s="1"/>
      <c r="W246" s="1"/>
      <c r="X246" s="1"/>
      <c r="Y246" s="1"/>
    </row>
    <row r="247" spans="1:25" ht="15.75" customHeight="1" x14ac:dyDescent="0.35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1"/>
      <c r="V247" s="1"/>
      <c r="W247" s="1"/>
      <c r="X247" s="1"/>
      <c r="Y247" s="1"/>
    </row>
    <row r="248" spans="1:25" ht="15.75" customHeight="1" x14ac:dyDescent="0.35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1"/>
      <c r="V248" s="1"/>
      <c r="W248" s="1"/>
      <c r="X248" s="1"/>
      <c r="Y248" s="1"/>
    </row>
    <row r="249" spans="1:25" ht="15.75" customHeight="1" x14ac:dyDescent="0.35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1"/>
      <c r="V249" s="1"/>
      <c r="W249" s="1"/>
      <c r="X249" s="1"/>
      <c r="Y249" s="1"/>
    </row>
    <row r="250" spans="1:25" ht="15.75" customHeight="1" x14ac:dyDescent="0.35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1"/>
      <c r="V250" s="1"/>
      <c r="W250" s="1"/>
      <c r="X250" s="1"/>
      <c r="Y250" s="1"/>
    </row>
    <row r="251" spans="1:25" ht="15.75" customHeight="1" x14ac:dyDescent="0.35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1"/>
      <c r="V251" s="1"/>
      <c r="W251" s="1"/>
      <c r="X251" s="1"/>
      <c r="Y251" s="1"/>
    </row>
    <row r="252" spans="1:25" ht="15.75" customHeight="1" x14ac:dyDescent="0.35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1"/>
      <c r="V252" s="1"/>
      <c r="W252" s="1"/>
      <c r="X252" s="1"/>
      <c r="Y252" s="1"/>
    </row>
    <row r="253" spans="1:25" ht="15.75" customHeight="1" x14ac:dyDescent="0.35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1"/>
      <c r="V253" s="1"/>
      <c r="W253" s="1"/>
      <c r="X253" s="1"/>
      <c r="Y253" s="1"/>
    </row>
    <row r="254" spans="1:25" ht="15.75" customHeight="1" x14ac:dyDescent="0.35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1"/>
      <c r="V254" s="1"/>
      <c r="W254" s="1"/>
      <c r="X254" s="1"/>
      <c r="Y254" s="1"/>
    </row>
    <row r="255" spans="1:25" ht="15.75" customHeight="1" x14ac:dyDescent="0.3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1"/>
      <c r="V255" s="1"/>
      <c r="W255" s="1"/>
      <c r="X255" s="1"/>
      <c r="Y255" s="1"/>
    </row>
    <row r="256" spans="1:25" ht="15.75" customHeight="1" x14ac:dyDescent="0.35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1"/>
      <c r="V256" s="1"/>
      <c r="W256" s="1"/>
      <c r="X256" s="1"/>
      <c r="Y256" s="1"/>
    </row>
    <row r="257" spans="1:25" ht="15.75" customHeight="1" x14ac:dyDescent="0.35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1"/>
      <c r="V257" s="1"/>
      <c r="W257" s="1"/>
      <c r="X257" s="1"/>
      <c r="Y257" s="1"/>
    </row>
    <row r="258" spans="1:25" ht="15.75" customHeight="1" x14ac:dyDescent="0.35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1"/>
      <c r="V258" s="1"/>
      <c r="W258" s="1"/>
      <c r="X258" s="1"/>
      <c r="Y258" s="1"/>
    </row>
    <row r="259" spans="1:25" ht="15.75" customHeight="1" x14ac:dyDescent="0.35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1"/>
      <c r="V259" s="1"/>
      <c r="W259" s="1"/>
      <c r="X259" s="1"/>
      <c r="Y259" s="1"/>
    </row>
    <row r="260" spans="1:25" ht="15.75" customHeight="1" x14ac:dyDescent="0.35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1"/>
      <c r="V260" s="1"/>
      <c r="W260" s="1"/>
      <c r="X260" s="1"/>
      <c r="Y260" s="1"/>
    </row>
    <row r="261" spans="1:25" ht="15.75" customHeight="1" x14ac:dyDescent="0.35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1"/>
      <c r="V261" s="1"/>
      <c r="W261" s="1"/>
      <c r="X261" s="1"/>
      <c r="Y261" s="1"/>
    </row>
    <row r="262" spans="1:25" ht="15.75" customHeight="1" x14ac:dyDescent="0.35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1"/>
      <c r="V262" s="1"/>
      <c r="W262" s="1"/>
      <c r="X262" s="1"/>
      <c r="Y262" s="1"/>
    </row>
    <row r="263" spans="1:25" ht="15.75" customHeight="1" x14ac:dyDescent="0.35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1"/>
      <c r="V263" s="1"/>
      <c r="W263" s="1"/>
      <c r="X263" s="1"/>
      <c r="Y263" s="1"/>
    </row>
    <row r="264" spans="1:25" ht="15.75" customHeight="1" x14ac:dyDescent="0.35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1"/>
      <c r="V264" s="1"/>
      <c r="W264" s="1"/>
      <c r="X264" s="1"/>
      <c r="Y264" s="1"/>
    </row>
    <row r="265" spans="1:25" ht="15.75" customHeight="1" x14ac:dyDescent="0.3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1"/>
      <c r="V265" s="1"/>
      <c r="W265" s="1"/>
      <c r="X265" s="1"/>
      <c r="Y265" s="1"/>
    </row>
    <row r="266" spans="1:25" ht="15.75" customHeight="1" x14ac:dyDescent="0.35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1"/>
      <c r="V266" s="1"/>
      <c r="W266" s="1"/>
      <c r="X266" s="1"/>
      <c r="Y266" s="1"/>
    </row>
    <row r="267" spans="1:25" ht="15.75" customHeight="1" x14ac:dyDescent="0.35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1"/>
      <c r="V267" s="1"/>
      <c r="W267" s="1"/>
      <c r="X267" s="1"/>
      <c r="Y267" s="1"/>
    </row>
    <row r="268" spans="1:25" ht="15.75" customHeight="1" x14ac:dyDescent="0.35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1"/>
      <c r="V268" s="1"/>
      <c r="W268" s="1"/>
      <c r="X268" s="1"/>
      <c r="Y268" s="1"/>
    </row>
    <row r="269" spans="1:25" ht="15.75" customHeight="1" x14ac:dyDescent="0.35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1"/>
      <c r="V269" s="1"/>
      <c r="W269" s="1"/>
      <c r="X269" s="1"/>
      <c r="Y269" s="1"/>
    </row>
    <row r="270" spans="1:25" ht="15.75" customHeight="1" x14ac:dyDescent="0.35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1"/>
      <c r="V270" s="1"/>
      <c r="W270" s="1"/>
      <c r="X270" s="1"/>
      <c r="Y270" s="1"/>
    </row>
    <row r="271" spans="1:25" ht="15.75" customHeight="1" x14ac:dyDescent="0.35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1"/>
      <c r="V271" s="1"/>
      <c r="W271" s="1"/>
      <c r="X271" s="1"/>
      <c r="Y271" s="1"/>
    </row>
    <row r="272" spans="1:25" ht="15.75" customHeight="1" x14ac:dyDescent="0.35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1"/>
      <c r="V272" s="1"/>
      <c r="W272" s="1"/>
      <c r="X272" s="1"/>
      <c r="Y272" s="1"/>
    </row>
    <row r="273" spans="1:25" ht="15.75" customHeight="1" x14ac:dyDescent="0.35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1"/>
      <c r="V273" s="1"/>
      <c r="W273" s="1"/>
      <c r="X273" s="1"/>
      <c r="Y273" s="1"/>
    </row>
    <row r="274" spans="1:25" ht="15.75" customHeight="1" x14ac:dyDescent="0.35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1"/>
      <c r="V274" s="1"/>
      <c r="W274" s="1"/>
      <c r="X274" s="1"/>
      <c r="Y274" s="1"/>
    </row>
    <row r="275" spans="1:25" ht="15.75" customHeight="1" x14ac:dyDescent="0.3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1"/>
      <c r="V275" s="1"/>
      <c r="W275" s="1"/>
      <c r="X275" s="1"/>
      <c r="Y275" s="1"/>
    </row>
    <row r="276" spans="1:25" ht="15.75" customHeight="1" x14ac:dyDescent="0.35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1"/>
      <c r="V276" s="1"/>
      <c r="W276" s="1"/>
      <c r="X276" s="1"/>
      <c r="Y276" s="1"/>
    </row>
    <row r="277" spans="1:25" ht="15.75" customHeight="1" x14ac:dyDescent="0.35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1"/>
      <c r="V277" s="1"/>
      <c r="W277" s="1"/>
      <c r="X277" s="1"/>
      <c r="Y277" s="1"/>
    </row>
    <row r="278" spans="1:25" ht="15.75" customHeight="1" x14ac:dyDescent="0.35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1"/>
      <c r="V278" s="1"/>
      <c r="W278" s="1"/>
      <c r="X278" s="1"/>
      <c r="Y278" s="1"/>
    </row>
    <row r="279" spans="1:25" ht="15.75" customHeight="1" x14ac:dyDescent="0.35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1"/>
      <c r="V279" s="1"/>
      <c r="W279" s="1"/>
      <c r="X279" s="1"/>
      <c r="Y279" s="1"/>
    </row>
    <row r="280" spans="1:25" ht="15.75" customHeight="1" x14ac:dyDescent="0.35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1"/>
      <c r="V280" s="1"/>
      <c r="W280" s="1"/>
      <c r="X280" s="1"/>
      <c r="Y280" s="1"/>
    </row>
    <row r="281" spans="1:25" ht="15.75" customHeight="1" x14ac:dyDescent="0.35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1"/>
      <c r="V281" s="1"/>
      <c r="W281" s="1"/>
      <c r="X281" s="1"/>
      <c r="Y281" s="1"/>
    </row>
    <row r="282" spans="1:25" ht="15.75" customHeight="1" x14ac:dyDescent="0.35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1"/>
      <c r="V282" s="1"/>
      <c r="W282" s="1"/>
      <c r="X282" s="1"/>
      <c r="Y282" s="1"/>
    </row>
    <row r="283" spans="1:25" ht="15.75" customHeight="1" x14ac:dyDescent="0.35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1"/>
      <c r="V283" s="1"/>
      <c r="W283" s="1"/>
      <c r="X283" s="1"/>
      <c r="Y283" s="1"/>
    </row>
    <row r="284" spans="1:25" ht="15.75" customHeight="1" x14ac:dyDescent="0.35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1"/>
      <c r="V284" s="1"/>
      <c r="W284" s="1"/>
      <c r="X284" s="1"/>
      <c r="Y284" s="1"/>
    </row>
    <row r="285" spans="1:25" ht="15.75" customHeight="1" x14ac:dyDescent="0.3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1"/>
      <c r="V285" s="1"/>
      <c r="W285" s="1"/>
      <c r="X285" s="1"/>
      <c r="Y285" s="1"/>
    </row>
    <row r="286" spans="1:25" ht="15.75" customHeight="1" x14ac:dyDescent="0.35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1"/>
      <c r="V286" s="1"/>
      <c r="W286" s="1"/>
      <c r="X286" s="1"/>
      <c r="Y286" s="1"/>
    </row>
    <row r="287" spans="1:25" ht="15.75" customHeight="1" x14ac:dyDescent="0.35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1"/>
      <c r="V287" s="1"/>
      <c r="W287" s="1"/>
      <c r="X287" s="1"/>
      <c r="Y287" s="1"/>
    </row>
    <row r="288" spans="1:25" ht="15.75" customHeight="1" x14ac:dyDescent="0.35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1"/>
      <c r="V288" s="1"/>
      <c r="W288" s="1"/>
      <c r="X288" s="1"/>
      <c r="Y288" s="1"/>
    </row>
    <row r="289" spans="1:25" ht="15.75" customHeight="1" x14ac:dyDescent="0.35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1"/>
      <c r="V289" s="1"/>
      <c r="W289" s="1"/>
      <c r="X289" s="1"/>
      <c r="Y289" s="1"/>
    </row>
    <row r="290" spans="1:25" ht="15.75" customHeight="1" x14ac:dyDescent="0.35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1"/>
      <c r="V290" s="1"/>
      <c r="W290" s="1"/>
      <c r="X290" s="1"/>
      <c r="Y290" s="1"/>
    </row>
    <row r="291" spans="1:25" ht="15.75" customHeight="1" x14ac:dyDescent="0.35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1"/>
      <c r="V291" s="1"/>
      <c r="W291" s="1"/>
      <c r="X291" s="1"/>
      <c r="Y291" s="1"/>
    </row>
    <row r="292" spans="1:25" ht="15.75" customHeight="1" x14ac:dyDescent="0.35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1"/>
      <c r="V292" s="1"/>
      <c r="W292" s="1"/>
      <c r="X292" s="1"/>
      <c r="Y292" s="1"/>
    </row>
    <row r="293" spans="1:25" ht="15.75" customHeight="1" x14ac:dyDescent="0.35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1"/>
      <c r="V293" s="1"/>
      <c r="W293" s="1"/>
      <c r="X293" s="1"/>
      <c r="Y293" s="1"/>
    </row>
    <row r="294" spans="1:25" ht="15.75" customHeight="1" x14ac:dyDescent="0.35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1"/>
      <c r="V294" s="1"/>
      <c r="W294" s="1"/>
      <c r="X294" s="1"/>
      <c r="Y294" s="1"/>
    </row>
    <row r="295" spans="1:25" ht="15.75" customHeight="1" x14ac:dyDescent="0.3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1"/>
      <c r="V295" s="1"/>
      <c r="W295" s="1"/>
      <c r="X295" s="1"/>
      <c r="Y295" s="1"/>
    </row>
    <row r="296" spans="1:25" ht="15.75" customHeight="1" x14ac:dyDescent="0.35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1"/>
      <c r="V296" s="1"/>
      <c r="W296" s="1"/>
      <c r="X296" s="1"/>
      <c r="Y296" s="1"/>
    </row>
    <row r="297" spans="1:25" ht="15.75" customHeight="1" x14ac:dyDescent="0.35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1"/>
      <c r="V297" s="1"/>
      <c r="W297" s="1"/>
      <c r="X297" s="1"/>
      <c r="Y297" s="1"/>
    </row>
    <row r="298" spans="1:25" ht="15.75" customHeight="1" x14ac:dyDescent="0.35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1"/>
      <c r="V298" s="1"/>
      <c r="W298" s="1"/>
      <c r="X298" s="1"/>
      <c r="Y298" s="1"/>
    </row>
    <row r="299" spans="1:25" ht="15.75" customHeight="1" x14ac:dyDescent="0.35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1"/>
      <c r="V299" s="1"/>
      <c r="W299" s="1"/>
      <c r="X299" s="1"/>
      <c r="Y299" s="1"/>
    </row>
    <row r="300" spans="1:25" ht="15.75" customHeight="1" x14ac:dyDescent="0.35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1"/>
      <c r="V300" s="1"/>
      <c r="W300" s="1"/>
      <c r="X300" s="1"/>
      <c r="Y300" s="1"/>
    </row>
    <row r="301" spans="1:25" ht="15.75" customHeight="1" x14ac:dyDescent="0.35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1"/>
      <c r="V301" s="1"/>
      <c r="W301" s="1"/>
      <c r="X301" s="1"/>
      <c r="Y301" s="1"/>
    </row>
    <row r="302" spans="1:25" ht="15.75" customHeight="1" x14ac:dyDescent="0.35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1"/>
      <c r="V302" s="1"/>
      <c r="W302" s="1"/>
      <c r="X302" s="1"/>
      <c r="Y302" s="1"/>
    </row>
    <row r="303" spans="1:25" ht="15.75" customHeight="1" x14ac:dyDescent="0.35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1"/>
      <c r="V303" s="1"/>
      <c r="W303" s="1"/>
      <c r="X303" s="1"/>
      <c r="Y303" s="1"/>
    </row>
    <row r="304" spans="1:25" ht="15.75" customHeight="1" x14ac:dyDescent="0.35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1"/>
      <c r="V304" s="1"/>
      <c r="W304" s="1"/>
      <c r="X304" s="1"/>
      <c r="Y304" s="1"/>
    </row>
    <row r="305" spans="1:25" ht="15.75" customHeight="1" x14ac:dyDescent="0.3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1"/>
      <c r="V305" s="1"/>
      <c r="W305" s="1"/>
      <c r="X305" s="1"/>
      <c r="Y305" s="1"/>
    </row>
    <row r="306" spans="1:25" ht="15.75" customHeight="1" x14ac:dyDescent="0.35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1"/>
      <c r="V306" s="1"/>
      <c r="W306" s="1"/>
      <c r="X306" s="1"/>
      <c r="Y306" s="1"/>
    </row>
    <row r="307" spans="1:25" ht="15.75" customHeight="1" x14ac:dyDescent="0.35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1"/>
      <c r="V307" s="1"/>
      <c r="W307" s="1"/>
      <c r="X307" s="1"/>
      <c r="Y307" s="1"/>
    </row>
    <row r="308" spans="1:25" ht="15.75" customHeight="1" x14ac:dyDescent="0.35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1"/>
      <c r="V308" s="1"/>
      <c r="W308" s="1"/>
      <c r="X308" s="1"/>
      <c r="Y308" s="1"/>
    </row>
    <row r="309" spans="1:25" ht="15.75" customHeight="1" x14ac:dyDescent="0.35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1"/>
      <c r="V309" s="1"/>
      <c r="W309" s="1"/>
      <c r="X309" s="1"/>
      <c r="Y309" s="1"/>
    </row>
    <row r="310" spans="1:25" ht="15.75" customHeight="1" x14ac:dyDescent="0.35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1"/>
      <c r="V310" s="1"/>
      <c r="W310" s="1"/>
      <c r="X310" s="1"/>
      <c r="Y310" s="1"/>
    </row>
    <row r="311" spans="1:25" ht="15.75" customHeight="1" x14ac:dyDescent="0.35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1"/>
      <c r="V311" s="1"/>
      <c r="W311" s="1"/>
      <c r="X311" s="1"/>
      <c r="Y311" s="1"/>
    </row>
    <row r="312" spans="1:25" ht="15.75" customHeight="1" x14ac:dyDescent="0.35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1"/>
      <c r="V312" s="1"/>
      <c r="W312" s="1"/>
      <c r="X312" s="1"/>
      <c r="Y312" s="1"/>
    </row>
    <row r="313" spans="1:25" ht="15.75" customHeight="1" x14ac:dyDescent="0.35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1"/>
      <c r="V313" s="1"/>
      <c r="W313" s="1"/>
      <c r="X313" s="1"/>
      <c r="Y313" s="1"/>
    </row>
    <row r="314" spans="1:25" ht="15.75" customHeight="1" x14ac:dyDescent="0.35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1"/>
      <c r="V314" s="1"/>
      <c r="W314" s="1"/>
      <c r="X314" s="1"/>
      <c r="Y314" s="1"/>
    </row>
    <row r="315" spans="1:25" ht="15.75" customHeight="1" x14ac:dyDescent="0.3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1"/>
      <c r="V315" s="1"/>
      <c r="W315" s="1"/>
      <c r="X315" s="1"/>
      <c r="Y315" s="1"/>
    </row>
    <row r="316" spans="1:25" ht="15.75" customHeight="1" x14ac:dyDescent="0.35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1"/>
      <c r="V316" s="1"/>
      <c r="W316" s="1"/>
      <c r="X316" s="1"/>
      <c r="Y316" s="1"/>
    </row>
    <row r="317" spans="1:25" ht="15.75" customHeight="1" x14ac:dyDescent="0.35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1"/>
      <c r="V317" s="1"/>
      <c r="W317" s="1"/>
      <c r="X317" s="1"/>
      <c r="Y317" s="1"/>
    </row>
    <row r="318" spans="1:25" ht="15.75" customHeight="1" x14ac:dyDescent="0.35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1"/>
      <c r="V318" s="1"/>
      <c r="W318" s="1"/>
      <c r="X318" s="1"/>
      <c r="Y318" s="1"/>
    </row>
    <row r="319" spans="1:25" ht="15.75" customHeight="1" x14ac:dyDescent="0.35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1"/>
      <c r="V319" s="1"/>
      <c r="W319" s="1"/>
      <c r="X319" s="1"/>
      <c r="Y319" s="1"/>
    </row>
    <row r="320" spans="1:25" ht="15.75" customHeight="1" x14ac:dyDescent="0.35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1"/>
      <c r="V320" s="1"/>
      <c r="W320" s="1"/>
      <c r="X320" s="1"/>
      <c r="Y320" s="1"/>
    </row>
    <row r="321" spans="1:25" ht="15.75" customHeight="1" x14ac:dyDescent="0.35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1"/>
      <c r="V321" s="1"/>
      <c r="W321" s="1"/>
      <c r="X321" s="1"/>
      <c r="Y321" s="1"/>
    </row>
    <row r="322" spans="1:25" ht="15.75" customHeight="1" x14ac:dyDescent="0.35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1"/>
      <c r="V322" s="1"/>
      <c r="W322" s="1"/>
      <c r="X322" s="1"/>
      <c r="Y322" s="1"/>
    </row>
    <row r="323" spans="1:25" ht="15.75" customHeight="1" x14ac:dyDescent="0.35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1"/>
      <c r="V323" s="1"/>
      <c r="W323" s="1"/>
      <c r="X323" s="1"/>
      <c r="Y323" s="1"/>
    </row>
    <row r="324" spans="1:25" ht="15.75" customHeight="1" x14ac:dyDescent="0.35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1"/>
      <c r="V324" s="1"/>
      <c r="W324" s="1"/>
      <c r="X324" s="1"/>
      <c r="Y324" s="1"/>
    </row>
    <row r="325" spans="1:25" ht="15.75" customHeight="1" x14ac:dyDescent="0.3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1"/>
      <c r="V325" s="1"/>
      <c r="W325" s="1"/>
      <c r="X325" s="1"/>
      <c r="Y325" s="1"/>
    </row>
    <row r="326" spans="1:25" ht="15.75" customHeight="1" x14ac:dyDescent="0.35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1"/>
      <c r="V326" s="1"/>
      <c r="W326" s="1"/>
      <c r="X326" s="1"/>
      <c r="Y326" s="1"/>
    </row>
    <row r="327" spans="1:25" ht="15.75" customHeight="1" x14ac:dyDescent="0.35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1"/>
      <c r="V327" s="1"/>
      <c r="W327" s="1"/>
      <c r="X327" s="1"/>
      <c r="Y327" s="1"/>
    </row>
    <row r="328" spans="1:25" ht="15.75" customHeight="1" x14ac:dyDescent="0.35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1"/>
      <c r="V328" s="1"/>
      <c r="W328" s="1"/>
      <c r="X328" s="1"/>
      <c r="Y328" s="1"/>
    </row>
    <row r="329" spans="1:25" ht="15.75" customHeight="1" x14ac:dyDescent="0.35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1"/>
      <c r="V329" s="1"/>
      <c r="W329" s="1"/>
      <c r="X329" s="1"/>
      <c r="Y329" s="1"/>
    </row>
    <row r="330" spans="1:25" ht="15.75" customHeight="1" x14ac:dyDescent="0.35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1"/>
      <c r="V330" s="1"/>
      <c r="W330" s="1"/>
      <c r="X330" s="1"/>
      <c r="Y330" s="1"/>
    </row>
    <row r="331" spans="1:25" ht="15.75" customHeight="1" x14ac:dyDescent="0.35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1"/>
      <c r="V331" s="1"/>
      <c r="W331" s="1"/>
      <c r="X331" s="1"/>
      <c r="Y331" s="1"/>
    </row>
    <row r="332" spans="1:25" ht="15.75" customHeight="1" x14ac:dyDescent="0.35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1"/>
      <c r="V332" s="1"/>
      <c r="W332" s="1"/>
      <c r="X332" s="1"/>
      <c r="Y332" s="1"/>
    </row>
    <row r="333" spans="1:25" ht="15.75" customHeight="1" x14ac:dyDescent="0.35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1"/>
      <c r="V333" s="1"/>
      <c r="W333" s="1"/>
      <c r="X333" s="1"/>
      <c r="Y333" s="1"/>
    </row>
    <row r="334" spans="1:25" ht="15.75" customHeight="1" x14ac:dyDescent="0.35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1"/>
      <c r="V334" s="1"/>
      <c r="W334" s="1"/>
      <c r="X334" s="1"/>
      <c r="Y334" s="1"/>
    </row>
    <row r="335" spans="1:25" ht="15.75" customHeight="1" x14ac:dyDescent="0.3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1"/>
      <c r="V335" s="1"/>
      <c r="W335" s="1"/>
      <c r="X335" s="1"/>
      <c r="Y335" s="1"/>
    </row>
    <row r="336" spans="1:25" ht="15.75" customHeight="1" x14ac:dyDescent="0.35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1"/>
      <c r="V336" s="1"/>
      <c r="W336" s="1"/>
      <c r="X336" s="1"/>
      <c r="Y336" s="1"/>
    </row>
    <row r="337" spans="1:25" ht="15.75" customHeight="1" x14ac:dyDescent="0.35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1"/>
      <c r="V337" s="1"/>
      <c r="W337" s="1"/>
      <c r="X337" s="1"/>
      <c r="Y337" s="1"/>
    </row>
    <row r="338" spans="1:25" ht="15.75" customHeight="1" x14ac:dyDescent="0.35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1"/>
      <c r="V338" s="1"/>
      <c r="W338" s="1"/>
      <c r="X338" s="1"/>
      <c r="Y338" s="1"/>
    </row>
    <row r="339" spans="1:25" ht="15.75" customHeight="1" x14ac:dyDescent="0.35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1"/>
      <c r="V339" s="1"/>
      <c r="W339" s="1"/>
      <c r="X339" s="1"/>
      <c r="Y339" s="1"/>
    </row>
    <row r="340" spans="1:25" ht="15.75" customHeight="1" x14ac:dyDescent="0.35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1"/>
      <c r="V340" s="1"/>
      <c r="W340" s="1"/>
      <c r="X340" s="1"/>
      <c r="Y340" s="1"/>
    </row>
    <row r="341" spans="1:25" ht="15.75" customHeight="1" x14ac:dyDescent="0.35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1"/>
      <c r="V341" s="1"/>
      <c r="W341" s="1"/>
      <c r="X341" s="1"/>
      <c r="Y341" s="1"/>
    </row>
    <row r="342" spans="1:25" ht="15.75" customHeight="1" x14ac:dyDescent="0.35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1"/>
      <c r="V342" s="1"/>
      <c r="W342" s="1"/>
      <c r="X342" s="1"/>
      <c r="Y342" s="1"/>
    </row>
    <row r="343" spans="1:25" ht="15.75" customHeight="1" x14ac:dyDescent="0.35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1"/>
      <c r="V343" s="1"/>
      <c r="W343" s="1"/>
      <c r="X343" s="1"/>
      <c r="Y343" s="1"/>
    </row>
    <row r="344" spans="1:25" ht="15.75" customHeight="1" x14ac:dyDescent="0.35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1"/>
      <c r="V344" s="1"/>
      <c r="W344" s="1"/>
      <c r="X344" s="1"/>
      <c r="Y344" s="1"/>
    </row>
    <row r="345" spans="1:25" ht="15.75" customHeight="1" x14ac:dyDescent="0.3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1"/>
      <c r="V345" s="1"/>
      <c r="W345" s="1"/>
      <c r="X345" s="1"/>
      <c r="Y345" s="1"/>
    </row>
    <row r="346" spans="1:25" ht="15.75" customHeight="1" x14ac:dyDescent="0.35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1"/>
      <c r="V346" s="1"/>
      <c r="W346" s="1"/>
      <c r="X346" s="1"/>
      <c r="Y346" s="1"/>
    </row>
    <row r="347" spans="1:25" ht="15.75" customHeight="1" x14ac:dyDescent="0.35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1"/>
      <c r="V347" s="1"/>
      <c r="W347" s="1"/>
      <c r="X347" s="1"/>
      <c r="Y347" s="1"/>
    </row>
    <row r="348" spans="1:25" ht="15.75" customHeight="1" x14ac:dyDescent="0.35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1"/>
      <c r="V348" s="1"/>
      <c r="W348" s="1"/>
      <c r="X348" s="1"/>
      <c r="Y348" s="1"/>
    </row>
    <row r="349" spans="1:25" ht="15.75" customHeight="1" x14ac:dyDescent="0.35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1"/>
      <c r="V349" s="1"/>
      <c r="W349" s="1"/>
      <c r="X349" s="1"/>
      <c r="Y349" s="1"/>
    </row>
    <row r="350" spans="1:25" ht="15.75" customHeight="1" x14ac:dyDescent="0.35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1"/>
      <c r="V350" s="1"/>
      <c r="W350" s="1"/>
      <c r="X350" s="1"/>
      <c r="Y350" s="1"/>
    </row>
    <row r="351" spans="1:25" ht="15.75" customHeight="1" x14ac:dyDescent="0.35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1"/>
      <c r="V351" s="1"/>
      <c r="W351" s="1"/>
      <c r="X351" s="1"/>
      <c r="Y351" s="1"/>
    </row>
    <row r="352" spans="1:25" ht="15.75" customHeight="1" x14ac:dyDescent="0.35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1"/>
      <c r="V352" s="1"/>
      <c r="W352" s="1"/>
      <c r="X352" s="1"/>
      <c r="Y352" s="1"/>
    </row>
    <row r="353" spans="1:25" ht="15.75" customHeight="1" x14ac:dyDescent="0.35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1"/>
      <c r="V353" s="1"/>
      <c r="W353" s="1"/>
      <c r="X353" s="1"/>
      <c r="Y353" s="1"/>
    </row>
    <row r="354" spans="1:25" ht="15.75" customHeight="1" x14ac:dyDescent="0.35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1"/>
      <c r="V354" s="1"/>
      <c r="W354" s="1"/>
      <c r="X354" s="1"/>
      <c r="Y354" s="1"/>
    </row>
    <row r="355" spans="1:25" ht="15.75" customHeight="1" x14ac:dyDescent="0.3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1"/>
      <c r="V355" s="1"/>
      <c r="W355" s="1"/>
      <c r="X355" s="1"/>
      <c r="Y355" s="1"/>
    </row>
    <row r="356" spans="1:25" ht="15.75" customHeight="1" x14ac:dyDescent="0.35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1"/>
      <c r="V356" s="1"/>
      <c r="W356" s="1"/>
      <c r="X356" s="1"/>
      <c r="Y356" s="1"/>
    </row>
    <row r="357" spans="1:25" ht="15.75" customHeight="1" x14ac:dyDescent="0.35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1"/>
      <c r="V357" s="1"/>
      <c r="W357" s="1"/>
      <c r="X357" s="1"/>
      <c r="Y357" s="1"/>
    </row>
    <row r="358" spans="1:25" ht="15.75" customHeight="1" x14ac:dyDescent="0.35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1"/>
      <c r="V358" s="1"/>
      <c r="W358" s="1"/>
      <c r="X358" s="1"/>
      <c r="Y358" s="1"/>
    </row>
    <row r="359" spans="1:25" ht="15.75" customHeight="1" x14ac:dyDescent="0.35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1"/>
      <c r="V359" s="1"/>
      <c r="W359" s="1"/>
      <c r="X359" s="1"/>
      <c r="Y359" s="1"/>
    </row>
    <row r="360" spans="1:25" ht="15.75" customHeight="1" x14ac:dyDescent="0.35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1"/>
      <c r="V360" s="1"/>
      <c r="W360" s="1"/>
      <c r="X360" s="1"/>
      <c r="Y360" s="1"/>
    </row>
    <row r="361" spans="1:25" ht="15.75" customHeight="1" x14ac:dyDescent="0.35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1"/>
      <c r="V361" s="1"/>
      <c r="W361" s="1"/>
      <c r="X361" s="1"/>
      <c r="Y361" s="1"/>
    </row>
    <row r="362" spans="1:25" ht="15.75" customHeight="1" x14ac:dyDescent="0.35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1"/>
      <c r="V362" s="1"/>
      <c r="W362" s="1"/>
      <c r="X362" s="1"/>
      <c r="Y362" s="1"/>
    </row>
    <row r="363" spans="1:25" ht="15.75" customHeight="1" x14ac:dyDescent="0.35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1"/>
      <c r="V363" s="1"/>
      <c r="W363" s="1"/>
      <c r="X363" s="1"/>
      <c r="Y363" s="1"/>
    </row>
    <row r="364" spans="1:25" ht="15.75" customHeight="1" x14ac:dyDescent="0.35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1"/>
      <c r="V364" s="1"/>
      <c r="W364" s="1"/>
      <c r="X364" s="1"/>
      <c r="Y364" s="1"/>
    </row>
    <row r="365" spans="1:25" ht="15.75" customHeight="1" x14ac:dyDescent="0.3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1"/>
      <c r="V365" s="1"/>
      <c r="W365" s="1"/>
      <c r="X365" s="1"/>
      <c r="Y365" s="1"/>
    </row>
    <row r="366" spans="1:25" ht="15.75" customHeight="1" x14ac:dyDescent="0.35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1"/>
      <c r="V366" s="1"/>
      <c r="W366" s="1"/>
      <c r="X366" s="1"/>
      <c r="Y366" s="1"/>
    </row>
    <row r="367" spans="1:25" ht="15.75" customHeight="1" x14ac:dyDescent="0.35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1"/>
      <c r="V367" s="1"/>
      <c r="W367" s="1"/>
      <c r="X367" s="1"/>
      <c r="Y367" s="1"/>
    </row>
    <row r="368" spans="1:25" ht="15.75" customHeight="1" x14ac:dyDescent="0.35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1"/>
      <c r="V368" s="1"/>
      <c r="W368" s="1"/>
      <c r="X368" s="1"/>
      <c r="Y368" s="1"/>
    </row>
    <row r="369" spans="1:25" ht="15.75" customHeight="1" x14ac:dyDescent="0.35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1"/>
      <c r="V369" s="1"/>
      <c r="W369" s="1"/>
      <c r="X369" s="1"/>
      <c r="Y369" s="1"/>
    </row>
    <row r="370" spans="1:25" ht="15.75" customHeight="1" x14ac:dyDescent="0.35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1"/>
      <c r="V370" s="1"/>
      <c r="W370" s="1"/>
      <c r="X370" s="1"/>
      <c r="Y370" s="1"/>
    </row>
    <row r="371" spans="1:25" ht="15.75" customHeight="1" x14ac:dyDescent="0.35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1"/>
      <c r="V371" s="1"/>
      <c r="W371" s="1"/>
      <c r="X371" s="1"/>
      <c r="Y371" s="1"/>
    </row>
    <row r="372" spans="1:25" ht="15.75" customHeight="1" x14ac:dyDescent="0.35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1"/>
      <c r="V372" s="1"/>
      <c r="W372" s="1"/>
      <c r="X372" s="1"/>
      <c r="Y372" s="1"/>
    </row>
    <row r="373" spans="1:25" ht="15.75" customHeight="1" x14ac:dyDescent="0.35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1"/>
      <c r="V373" s="1"/>
      <c r="W373" s="1"/>
      <c r="X373" s="1"/>
      <c r="Y373" s="1"/>
    </row>
    <row r="374" spans="1:25" ht="15.75" customHeight="1" x14ac:dyDescent="0.35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1"/>
      <c r="V374" s="1"/>
      <c r="W374" s="1"/>
      <c r="X374" s="1"/>
      <c r="Y374" s="1"/>
    </row>
    <row r="375" spans="1:25" ht="15.75" customHeight="1" x14ac:dyDescent="0.3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1"/>
      <c r="V375" s="1"/>
      <c r="W375" s="1"/>
      <c r="X375" s="1"/>
      <c r="Y375" s="1"/>
    </row>
    <row r="376" spans="1:25" ht="15.75" customHeight="1" x14ac:dyDescent="0.35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1"/>
      <c r="V376" s="1"/>
      <c r="W376" s="1"/>
      <c r="X376" s="1"/>
      <c r="Y376" s="1"/>
    </row>
    <row r="377" spans="1:25" ht="15.75" customHeight="1" x14ac:dyDescent="0.35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1"/>
      <c r="V377" s="1"/>
      <c r="W377" s="1"/>
      <c r="X377" s="1"/>
      <c r="Y377" s="1"/>
    </row>
    <row r="378" spans="1:25" ht="15.75" customHeight="1" x14ac:dyDescent="0.35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1"/>
      <c r="V378" s="1"/>
      <c r="W378" s="1"/>
      <c r="X378" s="1"/>
      <c r="Y378" s="1"/>
    </row>
    <row r="379" spans="1:25" ht="15.75" customHeight="1" x14ac:dyDescent="0.35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1"/>
      <c r="V379" s="1"/>
      <c r="W379" s="1"/>
      <c r="X379" s="1"/>
      <c r="Y379" s="1"/>
    </row>
    <row r="380" spans="1:25" ht="15.75" customHeight="1" x14ac:dyDescent="0.35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1"/>
      <c r="V380" s="1"/>
      <c r="W380" s="1"/>
      <c r="X380" s="1"/>
      <c r="Y380" s="1"/>
    </row>
    <row r="381" spans="1:25" ht="15.75" customHeight="1" x14ac:dyDescent="0.35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1"/>
      <c r="V381" s="1"/>
      <c r="W381" s="1"/>
      <c r="X381" s="1"/>
      <c r="Y381" s="1"/>
    </row>
    <row r="382" spans="1:25" ht="15.75" customHeight="1" x14ac:dyDescent="0.35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1"/>
      <c r="V382" s="1"/>
      <c r="W382" s="1"/>
      <c r="X382" s="1"/>
      <c r="Y382" s="1"/>
    </row>
    <row r="383" spans="1:25" ht="15.75" customHeight="1" x14ac:dyDescent="0.35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1"/>
      <c r="V383" s="1"/>
      <c r="W383" s="1"/>
      <c r="X383" s="1"/>
      <c r="Y383" s="1"/>
    </row>
    <row r="384" spans="1:25" ht="15.75" customHeight="1" x14ac:dyDescent="0.35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1"/>
      <c r="V384" s="1"/>
      <c r="W384" s="1"/>
      <c r="X384" s="1"/>
      <c r="Y384" s="1"/>
    </row>
    <row r="385" spans="1:25" ht="15.75" customHeight="1" x14ac:dyDescent="0.3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1"/>
      <c r="V385" s="1"/>
      <c r="W385" s="1"/>
      <c r="X385" s="1"/>
      <c r="Y385" s="1"/>
    </row>
    <row r="386" spans="1:25" ht="15.75" customHeight="1" x14ac:dyDescent="0.35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1"/>
      <c r="V386" s="1"/>
      <c r="W386" s="1"/>
      <c r="X386" s="1"/>
      <c r="Y386" s="1"/>
    </row>
    <row r="387" spans="1:25" ht="15.75" customHeight="1" x14ac:dyDescent="0.35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1"/>
      <c r="V387" s="1"/>
      <c r="W387" s="1"/>
      <c r="X387" s="1"/>
      <c r="Y387" s="1"/>
    </row>
    <row r="388" spans="1:25" ht="15.75" customHeight="1" x14ac:dyDescent="0.35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1"/>
      <c r="V388" s="1"/>
      <c r="W388" s="1"/>
      <c r="X388" s="1"/>
      <c r="Y388" s="1"/>
    </row>
    <row r="389" spans="1:25" ht="15.75" customHeight="1" x14ac:dyDescent="0.35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1"/>
      <c r="V389" s="1"/>
      <c r="W389" s="1"/>
      <c r="X389" s="1"/>
      <c r="Y389" s="1"/>
    </row>
    <row r="390" spans="1:25" ht="15.75" customHeight="1" x14ac:dyDescent="0.35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1"/>
      <c r="V390" s="1"/>
      <c r="W390" s="1"/>
      <c r="X390" s="1"/>
      <c r="Y390" s="1"/>
    </row>
    <row r="391" spans="1:25" ht="15.75" customHeight="1" x14ac:dyDescent="0.35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1"/>
      <c r="V391" s="1"/>
      <c r="W391" s="1"/>
      <c r="X391" s="1"/>
      <c r="Y391" s="1"/>
    </row>
    <row r="392" spans="1:25" ht="15.75" customHeight="1" x14ac:dyDescent="0.35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1"/>
      <c r="V392" s="1"/>
      <c r="W392" s="1"/>
      <c r="X392" s="1"/>
      <c r="Y392" s="1"/>
    </row>
    <row r="393" spans="1:25" ht="15.75" customHeight="1" x14ac:dyDescent="0.35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1"/>
      <c r="V393" s="1"/>
      <c r="W393" s="1"/>
      <c r="X393" s="1"/>
      <c r="Y393" s="1"/>
    </row>
    <row r="394" spans="1:25" ht="15.75" customHeight="1" x14ac:dyDescent="0.35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1"/>
      <c r="V394" s="1"/>
      <c r="W394" s="1"/>
      <c r="X394" s="1"/>
      <c r="Y394" s="1"/>
    </row>
    <row r="395" spans="1:25" ht="15.75" customHeight="1" x14ac:dyDescent="0.3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1"/>
      <c r="V395" s="1"/>
      <c r="W395" s="1"/>
      <c r="X395" s="1"/>
      <c r="Y395" s="1"/>
    </row>
    <row r="396" spans="1:25" ht="15.75" customHeight="1" x14ac:dyDescent="0.35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1"/>
      <c r="V396" s="1"/>
      <c r="W396" s="1"/>
      <c r="X396" s="1"/>
      <c r="Y396" s="1"/>
    </row>
    <row r="397" spans="1:25" ht="15.75" customHeight="1" x14ac:dyDescent="0.35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1"/>
      <c r="V397" s="1"/>
      <c r="W397" s="1"/>
      <c r="X397" s="1"/>
      <c r="Y397" s="1"/>
    </row>
    <row r="398" spans="1:25" ht="15.75" customHeight="1" x14ac:dyDescent="0.35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1"/>
      <c r="V398" s="1"/>
      <c r="W398" s="1"/>
      <c r="X398" s="1"/>
      <c r="Y398" s="1"/>
    </row>
    <row r="399" spans="1:25" ht="15.75" customHeight="1" x14ac:dyDescent="0.35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1"/>
      <c r="V399" s="1"/>
      <c r="W399" s="1"/>
      <c r="X399" s="1"/>
      <c r="Y399" s="1"/>
    </row>
    <row r="400" spans="1:25" ht="15.75" customHeight="1" x14ac:dyDescent="0.35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1"/>
      <c r="V400" s="1"/>
      <c r="W400" s="1"/>
      <c r="X400" s="1"/>
      <c r="Y400" s="1"/>
    </row>
    <row r="401" spans="1:25" ht="15.75" customHeight="1" x14ac:dyDescent="0.35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1"/>
      <c r="V401" s="1"/>
      <c r="W401" s="1"/>
      <c r="X401" s="1"/>
      <c r="Y401" s="1"/>
    </row>
    <row r="402" spans="1:25" ht="15.75" customHeight="1" x14ac:dyDescent="0.35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1"/>
      <c r="V402" s="1"/>
      <c r="W402" s="1"/>
      <c r="X402" s="1"/>
      <c r="Y402" s="1"/>
    </row>
    <row r="403" spans="1:25" ht="15.75" customHeight="1" x14ac:dyDescent="0.35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1"/>
      <c r="V403" s="1"/>
      <c r="W403" s="1"/>
      <c r="X403" s="1"/>
      <c r="Y403" s="1"/>
    </row>
    <row r="404" spans="1:25" ht="15.75" customHeight="1" x14ac:dyDescent="0.35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1"/>
      <c r="V404" s="1"/>
      <c r="W404" s="1"/>
      <c r="X404" s="1"/>
      <c r="Y404" s="1"/>
    </row>
    <row r="405" spans="1:25" ht="15.75" customHeight="1" x14ac:dyDescent="0.3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1"/>
      <c r="V405" s="1"/>
      <c r="W405" s="1"/>
      <c r="X405" s="1"/>
      <c r="Y405" s="1"/>
    </row>
    <row r="406" spans="1:25" ht="15.75" customHeight="1" x14ac:dyDescent="0.35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1"/>
      <c r="V406" s="1"/>
      <c r="W406" s="1"/>
      <c r="X406" s="1"/>
      <c r="Y406" s="1"/>
    </row>
    <row r="407" spans="1:25" ht="15.75" customHeight="1" x14ac:dyDescent="0.35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1"/>
      <c r="V407" s="1"/>
      <c r="W407" s="1"/>
      <c r="X407" s="1"/>
      <c r="Y407" s="1"/>
    </row>
    <row r="408" spans="1:25" ht="15.75" customHeight="1" x14ac:dyDescent="0.35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1"/>
      <c r="V408" s="1"/>
      <c r="W408" s="1"/>
      <c r="X408" s="1"/>
      <c r="Y408" s="1"/>
    </row>
    <row r="409" spans="1:25" ht="15.75" customHeight="1" x14ac:dyDescent="0.35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1"/>
      <c r="V409" s="1"/>
      <c r="W409" s="1"/>
      <c r="X409" s="1"/>
      <c r="Y409" s="1"/>
    </row>
    <row r="410" spans="1:25" ht="15.75" customHeight="1" x14ac:dyDescent="0.35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1"/>
      <c r="V410" s="1"/>
      <c r="W410" s="1"/>
      <c r="X410" s="1"/>
      <c r="Y410" s="1"/>
    </row>
    <row r="411" spans="1:25" ht="15.75" customHeight="1" x14ac:dyDescent="0.35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1"/>
      <c r="V411" s="1"/>
      <c r="W411" s="1"/>
      <c r="X411" s="1"/>
      <c r="Y411" s="1"/>
    </row>
    <row r="412" spans="1:25" ht="15.75" customHeight="1" x14ac:dyDescent="0.35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1"/>
      <c r="V412" s="1"/>
      <c r="W412" s="1"/>
      <c r="X412" s="1"/>
      <c r="Y412" s="1"/>
    </row>
    <row r="413" spans="1:25" ht="15.75" customHeight="1" x14ac:dyDescent="0.35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1"/>
      <c r="V413" s="1"/>
      <c r="W413" s="1"/>
      <c r="X413" s="1"/>
      <c r="Y413" s="1"/>
    </row>
    <row r="414" spans="1:25" ht="15.75" customHeight="1" x14ac:dyDescent="0.35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1"/>
      <c r="V414" s="1"/>
      <c r="W414" s="1"/>
      <c r="X414" s="1"/>
      <c r="Y414" s="1"/>
    </row>
    <row r="415" spans="1:25" ht="15.75" customHeight="1" x14ac:dyDescent="0.3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1"/>
      <c r="V415" s="1"/>
      <c r="W415" s="1"/>
      <c r="X415" s="1"/>
      <c r="Y415" s="1"/>
    </row>
    <row r="416" spans="1:25" ht="15.75" customHeight="1" x14ac:dyDescent="0.35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1"/>
      <c r="V416" s="1"/>
      <c r="W416" s="1"/>
      <c r="X416" s="1"/>
      <c r="Y416" s="1"/>
    </row>
    <row r="417" spans="1:25" ht="15.75" customHeight="1" x14ac:dyDescent="0.35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1"/>
      <c r="V417" s="1"/>
      <c r="W417" s="1"/>
      <c r="X417" s="1"/>
      <c r="Y417" s="1"/>
    </row>
    <row r="418" spans="1:25" ht="15.75" customHeight="1" x14ac:dyDescent="0.35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1"/>
      <c r="V418" s="1"/>
      <c r="W418" s="1"/>
      <c r="X418" s="1"/>
      <c r="Y418" s="1"/>
    </row>
    <row r="419" spans="1:25" ht="15.75" customHeight="1" x14ac:dyDescent="0.35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1"/>
      <c r="V419" s="1"/>
      <c r="W419" s="1"/>
      <c r="X419" s="1"/>
      <c r="Y419" s="1"/>
    </row>
    <row r="420" spans="1:25" ht="15.75" customHeight="1" x14ac:dyDescent="0.35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1"/>
      <c r="V420" s="1"/>
      <c r="W420" s="1"/>
      <c r="X420" s="1"/>
      <c r="Y420" s="1"/>
    </row>
    <row r="421" spans="1:25" ht="15.75" customHeight="1" x14ac:dyDescent="0.35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1"/>
      <c r="V421" s="1"/>
      <c r="W421" s="1"/>
      <c r="X421" s="1"/>
      <c r="Y421" s="1"/>
    </row>
    <row r="422" spans="1:25" ht="15.75" customHeight="1" x14ac:dyDescent="0.35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1"/>
      <c r="V422" s="1"/>
      <c r="W422" s="1"/>
      <c r="X422" s="1"/>
      <c r="Y422" s="1"/>
    </row>
    <row r="423" spans="1:25" ht="15.75" customHeight="1" x14ac:dyDescent="0.35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1"/>
      <c r="V423" s="1"/>
      <c r="W423" s="1"/>
      <c r="X423" s="1"/>
      <c r="Y423" s="1"/>
    </row>
    <row r="424" spans="1:25" ht="15.75" customHeight="1" x14ac:dyDescent="0.35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1"/>
      <c r="V424" s="1"/>
      <c r="W424" s="1"/>
      <c r="X424" s="1"/>
      <c r="Y424" s="1"/>
    </row>
    <row r="425" spans="1:25" ht="15.75" customHeight="1" x14ac:dyDescent="0.3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1"/>
      <c r="V425" s="1"/>
      <c r="W425" s="1"/>
      <c r="X425" s="1"/>
      <c r="Y425" s="1"/>
    </row>
    <row r="426" spans="1:25" ht="15.75" customHeight="1" x14ac:dyDescent="0.35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1"/>
      <c r="V426" s="1"/>
      <c r="W426" s="1"/>
      <c r="X426" s="1"/>
      <c r="Y426" s="1"/>
    </row>
    <row r="427" spans="1:25" ht="15.75" customHeight="1" x14ac:dyDescent="0.35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1"/>
      <c r="V427" s="1"/>
      <c r="W427" s="1"/>
      <c r="X427" s="1"/>
      <c r="Y427" s="1"/>
    </row>
    <row r="428" spans="1:25" ht="15.75" customHeight="1" x14ac:dyDescent="0.35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1"/>
      <c r="V428" s="1"/>
      <c r="W428" s="1"/>
      <c r="X428" s="1"/>
      <c r="Y428" s="1"/>
    </row>
    <row r="429" spans="1:25" ht="15.75" customHeight="1" x14ac:dyDescent="0.35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1"/>
      <c r="V429" s="1"/>
      <c r="W429" s="1"/>
      <c r="X429" s="1"/>
      <c r="Y429" s="1"/>
    </row>
    <row r="430" spans="1:25" ht="15.75" customHeight="1" x14ac:dyDescent="0.35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1"/>
      <c r="V430" s="1"/>
      <c r="W430" s="1"/>
      <c r="X430" s="1"/>
      <c r="Y430" s="1"/>
    </row>
    <row r="431" spans="1:25" ht="15.75" customHeight="1" x14ac:dyDescent="0.35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1"/>
      <c r="V431" s="1"/>
      <c r="W431" s="1"/>
      <c r="X431" s="1"/>
      <c r="Y431" s="1"/>
    </row>
    <row r="432" spans="1:25" ht="15.75" customHeight="1" x14ac:dyDescent="0.35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1"/>
      <c r="V432" s="1"/>
      <c r="W432" s="1"/>
      <c r="X432" s="1"/>
      <c r="Y432" s="1"/>
    </row>
    <row r="433" spans="1:25" ht="15.75" customHeight="1" x14ac:dyDescent="0.35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1"/>
      <c r="V433" s="1"/>
      <c r="W433" s="1"/>
      <c r="X433" s="1"/>
      <c r="Y433" s="1"/>
    </row>
    <row r="434" spans="1:25" ht="15.75" customHeight="1" x14ac:dyDescent="0.35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1"/>
      <c r="V434" s="1"/>
      <c r="W434" s="1"/>
      <c r="X434" s="1"/>
      <c r="Y434" s="1"/>
    </row>
    <row r="435" spans="1:25" ht="15.75" customHeight="1" x14ac:dyDescent="0.3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1"/>
      <c r="V435" s="1"/>
      <c r="W435" s="1"/>
      <c r="X435" s="1"/>
      <c r="Y435" s="1"/>
    </row>
    <row r="436" spans="1:25" ht="15.75" customHeight="1" x14ac:dyDescent="0.35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1"/>
      <c r="V436" s="1"/>
      <c r="W436" s="1"/>
      <c r="X436" s="1"/>
      <c r="Y436" s="1"/>
    </row>
    <row r="437" spans="1:25" ht="15.75" customHeight="1" x14ac:dyDescent="0.35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1"/>
      <c r="V437" s="1"/>
      <c r="W437" s="1"/>
      <c r="X437" s="1"/>
      <c r="Y437" s="1"/>
    </row>
    <row r="438" spans="1:25" ht="15.75" customHeight="1" x14ac:dyDescent="0.35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1"/>
      <c r="V438" s="1"/>
      <c r="W438" s="1"/>
      <c r="X438" s="1"/>
      <c r="Y438" s="1"/>
    </row>
    <row r="439" spans="1:25" ht="15.75" customHeight="1" x14ac:dyDescent="0.35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1"/>
      <c r="V439" s="1"/>
      <c r="W439" s="1"/>
      <c r="X439" s="1"/>
      <c r="Y439" s="1"/>
    </row>
    <row r="440" spans="1:25" ht="15.75" customHeight="1" x14ac:dyDescent="0.35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1"/>
      <c r="V440" s="1"/>
      <c r="W440" s="1"/>
      <c r="X440" s="1"/>
      <c r="Y440" s="1"/>
    </row>
    <row r="441" spans="1:25" ht="15.75" customHeight="1" x14ac:dyDescent="0.35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1"/>
      <c r="V441" s="1"/>
      <c r="W441" s="1"/>
      <c r="X441" s="1"/>
      <c r="Y441" s="1"/>
    </row>
    <row r="442" spans="1:25" ht="15.75" customHeight="1" x14ac:dyDescent="0.35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1"/>
      <c r="V442" s="1"/>
      <c r="W442" s="1"/>
      <c r="X442" s="1"/>
      <c r="Y442" s="1"/>
    </row>
    <row r="443" spans="1:25" ht="15.75" customHeight="1" x14ac:dyDescent="0.35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1"/>
      <c r="V443" s="1"/>
      <c r="W443" s="1"/>
      <c r="X443" s="1"/>
      <c r="Y443" s="1"/>
    </row>
    <row r="444" spans="1:25" ht="15.75" customHeight="1" x14ac:dyDescent="0.35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1"/>
      <c r="V444" s="1"/>
      <c r="W444" s="1"/>
      <c r="X444" s="1"/>
      <c r="Y444" s="1"/>
    </row>
    <row r="445" spans="1:25" ht="15.75" customHeight="1" x14ac:dyDescent="0.3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1"/>
      <c r="V445" s="1"/>
      <c r="W445" s="1"/>
      <c r="X445" s="1"/>
      <c r="Y445" s="1"/>
    </row>
    <row r="446" spans="1:25" ht="15.75" customHeight="1" x14ac:dyDescent="0.35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1"/>
      <c r="V446" s="1"/>
      <c r="W446" s="1"/>
      <c r="X446" s="1"/>
      <c r="Y446" s="1"/>
    </row>
    <row r="447" spans="1:25" ht="15.75" customHeight="1" x14ac:dyDescent="0.35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1"/>
      <c r="V447" s="1"/>
      <c r="W447" s="1"/>
      <c r="X447" s="1"/>
      <c r="Y447" s="1"/>
    </row>
    <row r="448" spans="1:25" ht="15.75" customHeight="1" x14ac:dyDescent="0.35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1"/>
      <c r="V448" s="1"/>
      <c r="W448" s="1"/>
      <c r="X448" s="1"/>
      <c r="Y448" s="1"/>
    </row>
    <row r="449" spans="1:25" ht="15.75" customHeight="1" x14ac:dyDescent="0.35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1"/>
      <c r="V449" s="1"/>
      <c r="W449" s="1"/>
      <c r="X449" s="1"/>
      <c r="Y449" s="1"/>
    </row>
    <row r="450" spans="1:25" ht="15.75" customHeight="1" x14ac:dyDescent="0.35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1"/>
      <c r="V450" s="1"/>
      <c r="W450" s="1"/>
      <c r="X450" s="1"/>
      <c r="Y450" s="1"/>
    </row>
    <row r="451" spans="1:25" ht="15.75" customHeight="1" x14ac:dyDescent="0.35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1"/>
      <c r="V451" s="1"/>
      <c r="W451" s="1"/>
      <c r="X451" s="1"/>
      <c r="Y451" s="1"/>
    </row>
    <row r="452" spans="1:25" ht="15.75" customHeight="1" x14ac:dyDescent="0.35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1"/>
      <c r="V452" s="1"/>
      <c r="W452" s="1"/>
      <c r="X452" s="1"/>
      <c r="Y452" s="1"/>
    </row>
    <row r="453" spans="1:25" ht="15.75" customHeight="1" x14ac:dyDescent="0.35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1"/>
      <c r="V453" s="1"/>
      <c r="W453" s="1"/>
      <c r="X453" s="1"/>
      <c r="Y453" s="1"/>
    </row>
    <row r="454" spans="1:25" ht="15.75" customHeight="1" x14ac:dyDescent="0.35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1"/>
      <c r="V454" s="1"/>
      <c r="W454" s="1"/>
      <c r="X454" s="1"/>
      <c r="Y454" s="1"/>
    </row>
    <row r="455" spans="1:25" ht="15.75" customHeight="1" x14ac:dyDescent="0.3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1"/>
      <c r="V455" s="1"/>
      <c r="W455" s="1"/>
      <c r="X455" s="1"/>
      <c r="Y455" s="1"/>
    </row>
    <row r="456" spans="1:25" ht="15.75" customHeight="1" x14ac:dyDescent="0.35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1"/>
      <c r="V456" s="1"/>
      <c r="W456" s="1"/>
      <c r="X456" s="1"/>
      <c r="Y456" s="1"/>
    </row>
    <row r="457" spans="1:25" ht="15.75" customHeight="1" x14ac:dyDescent="0.35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1"/>
      <c r="V457" s="1"/>
      <c r="W457" s="1"/>
      <c r="X457" s="1"/>
      <c r="Y457" s="1"/>
    </row>
    <row r="458" spans="1:25" ht="15.75" customHeight="1" x14ac:dyDescent="0.35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1"/>
      <c r="V458" s="1"/>
      <c r="W458" s="1"/>
      <c r="X458" s="1"/>
      <c r="Y458" s="1"/>
    </row>
    <row r="459" spans="1:25" ht="15.75" customHeight="1" x14ac:dyDescent="0.35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1"/>
      <c r="V459" s="1"/>
      <c r="W459" s="1"/>
      <c r="X459" s="1"/>
      <c r="Y459" s="1"/>
    </row>
    <row r="460" spans="1:25" ht="15.75" customHeight="1" x14ac:dyDescent="0.35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1"/>
      <c r="V460" s="1"/>
      <c r="W460" s="1"/>
      <c r="X460" s="1"/>
      <c r="Y460" s="1"/>
    </row>
    <row r="461" spans="1:25" ht="15.75" customHeight="1" x14ac:dyDescent="0.35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1"/>
      <c r="V461" s="1"/>
      <c r="W461" s="1"/>
      <c r="X461" s="1"/>
      <c r="Y461" s="1"/>
    </row>
    <row r="462" spans="1:25" ht="15.75" customHeight="1" x14ac:dyDescent="0.35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1"/>
      <c r="V462" s="1"/>
      <c r="W462" s="1"/>
      <c r="X462" s="1"/>
      <c r="Y462" s="1"/>
    </row>
    <row r="463" spans="1:25" ht="15.75" customHeight="1" x14ac:dyDescent="0.35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1"/>
      <c r="V463" s="1"/>
      <c r="W463" s="1"/>
      <c r="X463" s="1"/>
      <c r="Y463" s="1"/>
    </row>
    <row r="464" spans="1:25" ht="15.75" customHeight="1" x14ac:dyDescent="0.35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1"/>
      <c r="V464" s="1"/>
      <c r="W464" s="1"/>
      <c r="X464" s="1"/>
      <c r="Y464" s="1"/>
    </row>
    <row r="465" spans="1:25" ht="15.75" customHeight="1" x14ac:dyDescent="0.3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1"/>
      <c r="V465" s="1"/>
      <c r="W465" s="1"/>
      <c r="X465" s="1"/>
      <c r="Y465" s="1"/>
    </row>
    <row r="466" spans="1:25" ht="15.75" customHeight="1" x14ac:dyDescent="0.35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1"/>
      <c r="V466" s="1"/>
      <c r="W466" s="1"/>
      <c r="X466" s="1"/>
      <c r="Y466" s="1"/>
    </row>
    <row r="467" spans="1:25" ht="15.75" customHeight="1" x14ac:dyDescent="0.35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1"/>
      <c r="V467" s="1"/>
      <c r="W467" s="1"/>
      <c r="X467" s="1"/>
      <c r="Y467" s="1"/>
    </row>
    <row r="468" spans="1:25" ht="15.75" customHeight="1" x14ac:dyDescent="0.35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1"/>
      <c r="V468" s="1"/>
      <c r="W468" s="1"/>
      <c r="X468" s="1"/>
      <c r="Y468" s="1"/>
    </row>
    <row r="469" spans="1:25" ht="15.75" customHeight="1" x14ac:dyDescent="0.35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1"/>
      <c r="V469" s="1"/>
      <c r="W469" s="1"/>
      <c r="X469" s="1"/>
      <c r="Y469" s="1"/>
    </row>
    <row r="470" spans="1:25" ht="15.75" customHeight="1" x14ac:dyDescent="0.35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1"/>
      <c r="V470" s="1"/>
      <c r="W470" s="1"/>
      <c r="X470" s="1"/>
      <c r="Y470" s="1"/>
    </row>
    <row r="471" spans="1:25" ht="15.75" customHeight="1" x14ac:dyDescent="0.35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1"/>
      <c r="V471" s="1"/>
      <c r="W471" s="1"/>
      <c r="X471" s="1"/>
      <c r="Y471" s="1"/>
    </row>
    <row r="472" spans="1:25" ht="15.75" customHeight="1" x14ac:dyDescent="0.35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1"/>
      <c r="V472" s="1"/>
      <c r="W472" s="1"/>
      <c r="X472" s="1"/>
      <c r="Y472" s="1"/>
    </row>
    <row r="473" spans="1:25" ht="15.75" customHeight="1" x14ac:dyDescent="0.35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1"/>
      <c r="V473" s="1"/>
      <c r="W473" s="1"/>
      <c r="X473" s="1"/>
      <c r="Y473" s="1"/>
    </row>
    <row r="474" spans="1:25" ht="15.75" customHeight="1" x14ac:dyDescent="0.35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1"/>
      <c r="V474" s="1"/>
      <c r="W474" s="1"/>
      <c r="X474" s="1"/>
      <c r="Y474" s="1"/>
    </row>
    <row r="475" spans="1:25" ht="15.75" customHeight="1" x14ac:dyDescent="0.3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1"/>
      <c r="V475" s="1"/>
      <c r="W475" s="1"/>
      <c r="X475" s="1"/>
      <c r="Y475" s="1"/>
    </row>
    <row r="476" spans="1:25" ht="15.75" customHeight="1" x14ac:dyDescent="0.35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1"/>
      <c r="V476" s="1"/>
      <c r="W476" s="1"/>
      <c r="X476" s="1"/>
      <c r="Y476" s="1"/>
    </row>
    <row r="477" spans="1:25" ht="15.75" customHeight="1" x14ac:dyDescent="0.35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1"/>
      <c r="V477" s="1"/>
      <c r="W477" s="1"/>
      <c r="X477" s="1"/>
      <c r="Y477" s="1"/>
    </row>
    <row r="478" spans="1:25" ht="15.75" customHeight="1" x14ac:dyDescent="0.35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1"/>
      <c r="V478" s="1"/>
      <c r="W478" s="1"/>
      <c r="X478" s="1"/>
      <c r="Y478" s="1"/>
    </row>
    <row r="479" spans="1:25" ht="15.75" customHeight="1" x14ac:dyDescent="0.35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1"/>
      <c r="V479" s="1"/>
      <c r="W479" s="1"/>
      <c r="X479" s="1"/>
      <c r="Y479" s="1"/>
    </row>
    <row r="480" spans="1:25" ht="15.75" customHeight="1" x14ac:dyDescent="0.35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1"/>
      <c r="V480" s="1"/>
      <c r="W480" s="1"/>
      <c r="X480" s="1"/>
      <c r="Y480" s="1"/>
    </row>
    <row r="481" spans="1:25" ht="15.75" customHeight="1" x14ac:dyDescent="0.35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1"/>
      <c r="V481" s="1"/>
      <c r="W481" s="1"/>
      <c r="X481" s="1"/>
      <c r="Y481" s="1"/>
    </row>
    <row r="482" spans="1:25" ht="15.75" customHeight="1" x14ac:dyDescent="0.35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1"/>
      <c r="V482" s="1"/>
      <c r="W482" s="1"/>
      <c r="X482" s="1"/>
      <c r="Y482" s="1"/>
    </row>
    <row r="483" spans="1:25" ht="15.75" customHeight="1" x14ac:dyDescent="0.35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1"/>
      <c r="V483" s="1"/>
      <c r="W483" s="1"/>
      <c r="X483" s="1"/>
      <c r="Y483" s="1"/>
    </row>
    <row r="484" spans="1:25" ht="15.75" customHeight="1" x14ac:dyDescent="0.35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1"/>
      <c r="V484" s="1"/>
      <c r="W484" s="1"/>
      <c r="X484" s="1"/>
      <c r="Y484" s="1"/>
    </row>
    <row r="485" spans="1:25" ht="15.75" customHeight="1" x14ac:dyDescent="0.3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1"/>
      <c r="V485" s="1"/>
      <c r="W485" s="1"/>
      <c r="X485" s="1"/>
      <c r="Y485" s="1"/>
    </row>
    <row r="486" spans="1:25" ht="15.75" customHeight="1" x14ac:dyDescent="0.35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1"/>
      <c r="V486" s="1"/>
      <c r="W486" s="1"/>
      <c r="X486" s="1"/>
      <c r="Y486" s="1"/>
    </row>
    <row r="487" spans="1:25" ht="15.75" customHeight="1" x14ac:dyDescent="0.35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1"/>
      <c r="V487" s="1"/>
      <c r="W487" s="1"/>
      <c r="X487" s="1"/>
      <c r="Y487" s="1"/>
    </row>
    <row r="488" spans="1:25" ht="15.75" customHeight="1" x14ac:dyDescent="0.35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1"/>
      <c r="V488" s="1"/>
      <c r="W488" s="1"/>
      <c r="X488" s="1"/>
      <c r="Y488" s="1"/>
    </row>
    <row r="489" spans="1:25" ht="15.75" customHeight="1" x14ac:dyDescent="0.35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1"/>
      <c r="V489" s="1"/>
      <c r="W489" s="1"/>
      <c r="X489" s="1"/>
      <c r="Y489" s="1"/>
    </row>
    <row r="490" spans="1:25" ht="15.75" customHeight="1" x14ac:dyDescent="0.35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1"/>
      <c r="V490" s="1"/>
      <c r="W490" s="1"/>
      <c r="X490" s="1"/>
      <c r="Y490" s="1"/>
    </row>
    <row r="491" spans="1:25" ht="15.75" customHeight="1" x14ac:dyDescent="0.35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1"/>
      <c r="V491" s="1"/>
      <c r="W491" s="1"/>
      <c r="X491" s="1"/>
      <c r="Y491" s="1"/>
    </row>
    <row r="492" spans="1:25" ht="15.75" customHeight="1" x14ac:dyDescent="0.35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1"/>
      <c r="V492" s="1"/>
      <c r="W492" s="1"/>
      <c r="X492" s="1"/>
      <c r="Y492" s="1"/>
    </row>
    <row r="493" spans="1:25" ht="15.75" customHeight="1" x14ac:dyDescent="0.35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1"/>
      <c r="V493" s="1"/>
      <c r="W493" s="1"/>
      <c r="X493" s="1"/>
      <c r="Y493" s="1"/>
    </row>
    <row r="494" spans="1:25" ht="15.75" customHeight="1" x14ac:dyDescent="0.35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1"/>
      <c r="V494" s="1"/>
      <c r="W494" s="1"/>
      <c r="X494" s="1"/>
      <c r="Y494" s="1"/>
    </row>
    <row r="495" spans="1:25" ht="15.75" customHeight="1" x14ac:dyDescent="0.3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1"/>
      <c r="V495" s="1"/>
      <c r="W495" s="1"/>
      <c r="X495" s="1"/>
      <c r="Y495" s="1"/>
    </row>
    <row r="496" spans="1:25" ht="15.75" customHeight="1" x14ac:dyDescent="0.35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1"/>
      <c r="V496" s="1"/>
      <c r="W496" s="1"/>
      <c r="X496" s="1"/>
      <c r="Y496" s="1"/>
    </row>
    <row r="497" spans="1:25" ht="15.75" customHeight="1" x14ac:dyDescent="0.35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1"/>
      <c r="V497" s="1"/>
      <c r="W497" s="1"/>
      <c r="X497" s="1"/>
      <c r="Y497" s="1"/>
    </row>
    <row r="498" spans="1:25" ht="15.75" customHeight="1" x14ac:dyDescent="0.35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1"/>
      <c r="V498" s="1"/>
      <c r="W498" s="1"/>
      <c r="X498" s="1"/>
      <c r="Y498" s="1"/>
    </row>
    <row r="499" spans="1:25" ht="15.75" customHeight="1" x14ac:dyDescent="0.35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1"/>
      <c r="V499" s="1"/>
      <c r="W499" s="1"/>
      <c r="X499" s="1"/>
      <c r="Y499" s="1"/>
    </row>
    <row r="500" spans="1:25" ht="15.75" customHeight="1" x14ac:dyDescent="0.35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1"/>
      <c r="V500" s="1"/>
      <c r="W500" s="1"/>
      <c r="X500" s="1"/>
      <c r="Y500" s="1"/>
    </row>
    <row r="501" spans="1:25" ht="15.75" customHeight="1" x14ac:dyDescent="0.35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1"/>
      <c r="V501" s="1"/>
      <c r="W501" s="1"/>
      <c r="X501" s="1"/>
      <c r="Y501" s="1"/>
    </row>
    <row r="502" spans="1:25" ht="15.75" customHeight="1" x14ac:dyDescent="0.35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1"/>
      <c r="V502" s="1"/>
      <c r="W502" s="1"/>
      <c r="X502" s="1"/>
      <c r="Y502" s="1"/>
    </row>
    <row r="503" spans="1:25" ht="15.75" customHeight="1" x14ac:dyDescent="0.35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1"/>
      <c r="V503" s="1"/>
      <c r="W503" s="1"/>
      <c r="X503" s="1"/>
      <c r="Y503" s="1"/>
    </row>
    <row r="504" spans="1:25" ht="15.75" customHeight="1" x14ac:dyDescent="0.35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1"/>
      <c r="V504" s="1"/>
      <c r="W504" s="1"/>
      <c r="X504" s="1"/>
      <c r="Y504" s="1"/>
    </row>
    <row r="505" spans="1:25" ht="15.75" customHeight="1" x14ac:dyDescent="0.3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1"/>
      <c r="V505" s="1"/>
      <c r="W505" s="1"/>
      <c r="X505" s="1"/>
      <c r="Y505" s="1"/>
    </row>
    <row r="506" spans="1:25" ht="15.75" customHeight="1" x14ac:dyDescent="0.35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1"/>
      <c r="V506" s="1"/>
      <c r="W506" s="1"/>
      <c r="X506" s="1"/>
      <c r="Y506" s="1"/>
    </row>
    <row r="507" spans="1:25" ht="15.75" customHeight="1" x14ac:dyDescent="0.35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1"/>
      <c r="V507" s="1"/>
      <c r="W507" s="1"/>
      <c r="X507" s="1"/>
      <c r="Y507" s="1"/>
    </row>
    <row r="508" spans="1:25" ht="15.75" customHeight="1" x14ac:dyDescent="0.35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1"/>
      <c r="V508" s="1"/>
      <c r="W508" s="1"/>
      <c r="X508" s="1"/>
      <c r="Y508" s="1"/>
    </row>
    <row r="509" spans="1:25" ht="15.75" customHeight="1" x14ac:dyDescent="0.35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1"/>
      <c r="V509" s="1"/>
      <c r="W509" s="1"/>
      <c r="X509" s="1"/>
      <c r="Y509" s="1"/>
    </row>
    <row r="510" spans="1:25" ht="15.75" customHeight="1" x14ac:dyDescent="0.35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1"/>
      <c r="V510" s="1"/>
      <c r="W510" s="1"/>
      <c r="X510" s="1"/>
      <c r="Y510" s="1"/>
    </row>
    <row r="511" spans="1:25" ht="15.75" customHeight="1" x14ac:dyDescent="0.35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1"/>
      <c r="V511" s="1"/>
      <c r="W511" s="1"/>
      <c r="X511" s="1"/>
      <c r="Y511" s="1"/>
    </row>
    <row r="512" spans="1:25" ht="15.75" customHeight="1" x14ac:dyDescent="0.35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1"/>
      <c r="V512" s="1"/>
      <c r="W512" s="1"/>
      <c r="X512" s="1"/>
      <c r="Y512" s="1"/>
    </row>
    <row r="513" spans="1:25" ht="15.75" customHeight="1" x14ac:dyDescent="0.35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1"/>
      <c r="V513" s="1"/>
      <c r="W513" s="1"/>
      <c r="X513" s="1"/>
      <c r="Y513" s="1"/>
    </row>
    <row r="514" spans="1:25" ht="15.75" customHeight="1" x14ac:dyDescent="0.35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1"/>
      <c r="V514" s="1"/>
      <c r="W514" s="1"/>
      <c r="X514" s="1"/>
      <c r="Y514" s="1"/>
    </row>
    <row r="515" spans="1:25" ht="15.75" customHeight="1" x14ac:dyDescent="0.3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1"/>
      <c r="V515" s="1"/>
      <c r="W515" s="1"/>
      <c r="X515" s="1"/>
      <c r="Y515" s="1"/>
    </row>
    <row r="516" spans="1:25" ht="15.75" customHeight="1" x14ac:dyDescent="0.35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1"/>
      <c r="V516" s="1"/>
      <c r="W516" s="1"/>
      <c r="X516" s="1"/>
      <c r="Y516" s="1"/>
    </row>
    <row r="517" spans="1:25" ht="15.75" customHeight="1" x14ac:dyDescent="0.35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1"/>
      <c r="V517" s="1"/>
      <c r="W517" s="1"/>
      <c r="X517" s="1"/>
      <c r="Y517" s="1"/>
    </row>
    <row r="518" spans="1:25" ht="15.75" customHeight="1" x14ac:dyDescent="0.35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1"/>
      <c r="V518" s="1"/>
      <c r="W518" s="1"/>
      <c r="X518" s="1"/>
      <c r="Y518" s="1"/>
    </row>
    <row r="519" spans="1:25" ht="15.75" customHeight="1" x14ac:dyDescent="0.35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1"/>
      <c r="V519" s="1"/>
      <c r="W519" s="1"/>
      <c r="X519" s="1"/>
      <c r="Y519" s="1"/>
    </row>
    <row r="520" spans="1:25" ht="15.75" customHeight="1" x14ac:dyDescent="0.35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1"/>
      <c r="V520" s="1"/>
      <c r="W520" s="1"/>
      <c r="X520" s="1"/>
      <c r="Y520" s="1"/>
    </row>
    <row r="521" spans="1:25" ht="15.75" customHeight="1" x14ac:dyDescent="0.35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1"/>
      <c r="V521" s="1"/>
      <c r="W521" s="1"/>
      <c r="X521" s="1"/>
      <c r="Y521" s="1"/>
    </row>
    <row r="522" spans="1:25" ht="15.75" customHeight="1" x14ac:dyDescent="0.35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1"/>
      <c r="V522" s="1"/>
      <c r="W522" s="1"/>
      <c r="X522" s="1"/>
      <c r="Y522" s="1"/>
    </row>
    <row r="523" spans="1:25" ht="15.75" customHeight="1" x14ac:dyDescent="0.35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1"/>
      <c r="V523" s="1"/>
      <c r="W523" s="1"/>
      <c r="X523" s="1"/>
      <c r="Y523" s="1"/>
    </row>
    <row r="524" spans="1:25" ht="15.75" customHeight="1" x14ac:dyDescent="0.35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1"/>
      <c r="V524" s="1"/>
      <c r="W524" s="1"/>
      <c r="X524" s="1"/>
      <c r="Y524" s="1"/>
    </row>
    <row r="525" spans="1:25" ht="15.75" customHeight="1" x14ac:dyDescent="0.3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1"/>
      <c r="V525" s="1"/>
      <c r="W525" s="1"/>
      <c r="X525" s="1"/>
      <c r="Y525" s="1"/>
    </row>
    <row r="526" spans="1:25" ht="15.75" customHeight="1" x14ac:dyDescent="0.35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1"/>
      <c r="V526" s="1"/>
      <c r="W526" s="1"/>
      <c r="X526" s="1"/>
      <c r="Y526" s="1"/>
    </row>
    <row r="527" spans="1:25" ht="15.75" customHeight="1" x14ac:dyDescent="0.35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1"/>
      <c r="V527" s="1"/>
      <c r="W527" s="1"/>
      <c r="X527" s="1"/>
      <c r="Y527" s="1"/>
    </row>
    <row r="528" spans="1:25" ht="15.75" customHeight="1" x14ac:dyDescent="0.35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1"/>
      <c r="V528" s="1"/>
      <c r="W528" s="1"/>
      <c r="X528" s="1"/>
      <c r="Y528" s="1"/>
    </row>
    <row r="529" spans="1:25" ht="15.75" customHeight="1" x14ac:dyDescent="0.35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1"/>
      <c r="V529" s="1"/>
      <c r="W529" s="1"/>
      <c r="X529" s="1"/>
      <c r="Y529" s="1"/>
    </row>
    <row r="530" spans="1:25" ht="15.75" customHeight="1" x14ac:dyDescent="0.35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1"/>
      <c r="V530" s="1"/>
      <c r="W530" s="1"/>
      <c r="X530" s="1"/>
      <c r="Y530" s="1"/>
    </row>
    <row r="531" spans="1:25" ht="15.75" customHeight="1" x14ac:dyDescent="0.35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1"/>
      <c r="V531" s="1"/>
      <c r="W531" s="1"/>
      <c r="X531" s="1"/>
      <c r="Y531" s="1"/>
    </row>
    <row r="532" spans="1:25" ht="15.75" customHeight="1" x14ac:dyDescent="0.35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1"/>
      <c r="V532" s="1"/>
      <c r="W532" s="1"/>
      <c r="X532" s="1"/>
      <c r="Y532" s="1"/>
    </row>
    <row r="533" spans="1:25" ht="15.75" customHeight="1" x14ac:dyDescent="0.35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1"/>
      <c r="V533" s="1"/>
      <c r="W533" s="1"/>
      <c r="X533" s="1"/>
      <c r="Y533" s="1"/>
    </row>
    <row r="534" spans="1:25" ht="15.75" customHeight="1" x14ac:dyDescent="0.35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1"/>
      <c r="V534" s="1"/>
      <c r="W534" s="1"/>
      <c r="X534" s="1"/>
      <c r="Y534" s="1"/>
    </row>
    <row r="535" spans="1:25" ht="15.75" customHeight="1" x14ac:dyDescent="0.3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1"/>
      <c r="V535" s="1"/>
      <c r="W535" s="1"/>
      <c r="X535" s="1"/>
      <c r="Y535" s="1"/>
    </row>
    <row r="536" spans="1:25" ht="15.75" customHeight="1" x14ac:dyDescent="0.35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1"/>
      <c r="V536" s="1"/>
      <c r="W536" s="1"/>
      <c r="X536" s="1"/>
      <c r="Y536" s="1"/>
    </row>
    <row r="537" spans="1:25" ht="15.75" customHeight="1" x14ac:dyDescent="0.35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1"/>
      <c r="V537" s="1"/>
      <c r="W537" s="1"/>
      <c r="X537" s="1"/>
      <c r="Y537" s="1"/>
    </row>
    <row r="538" spans="1:25" ht="15.75" customHeight="1" x14ac:dyDescent="0.35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1"/>
      <c r="V538" s="1"/>
      <c r="W538" s="1"/>
      <c r="X538" s="1"/>
      <c r="Y538" s="1"/>
    </row>
    <row r="539" spans="1:25" ht="15.75" customHeight="1" x14ac:dyDescent="0.35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1"/>
      <c r="V539" s="1"/>
      <c r="W539" s="1"/>
      <c r="X539" s="1"/>
      <c r="Y539" s="1"/>
    </row>
    <row r="540" spans="1:25" ht="15.75" customHeight="1" x14ac:dyDescent="0.35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1"/>
      <c r="V540" s="1"/>
      <c r="W540" s="1"/>
      <c r="X540" s="1"/>
      <c r="Y540" s="1"/>
    </row>
    <row r="541" spans="1:25" ht="15.75" customHeight="1" x14ac:dyDescent="0.35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1"/>
      <c r="V541" s="1"/>
      <c r="W541" s="1"/>
      <c r="X541" s="1"/>
      <c r="Y541" s="1"/>
    </row>
    <row r="542" spans="1:25" ht="15.75" customHeight="1" x14ac:dyDescent="0.35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1"/>
      <c r="V542" s="1"/>
      <c r="W542" s="1"/>
      <c r="X542" s="1"/>
      <c r="Y542" s="1"/>
    </row>
    <row r="543" spans="1:25" ht="15.75" customHeight="1" x14ac:dyDescent="0.35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1"/>
      <c r="V543" s="1"/>
      <c r="W543" s="1"/>
      <c r="X543" s="1"/>
      <c r="Y543" s="1"/>
    </row>
    <row r="544" spans="1:25" ht="15.75" customHeight="1" x14ac:dyDescent="0.35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1"/>
      <c r="V544" s="1"/>
      <c r="W544" s="1"/>
      <c r="X544" s="1"/>
      <c r="Y544" s="1"/>
    </row>
    <row r="545" spans="1:25" ht="15.75" customHeight="1" x14ac:dyDescent="0.3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1"/>
      <c r="V545" s="1"/>
      <c r="W545" s="1"/>
      <c r="X545" s="1"/>
      <c r="Y545" s="1"/>
    </row>
    <row r="546" spans="1:25" ht="15.75" customHeight="1" x14ac:dyDescent="0.35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1"/>
      <c r="V546" s="1"/>
      <c r="W546" s="1"/>
      <c r="X546" s="1"/>
      <c r="Y546" s="1"/>
    </row>
    <row r="547" spans="1:25" ht="15.75" customHeight="1" x14ac:dyDescent="0.35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1"/>
      <c r="V547" s="1"/>
      <c r="W547" s="1"/>
      <c r="X547" s="1"/>
      <c r="Y547" s="1"/>
    </row>
    <row r="548" spans="1:25" ht="15.75" customHeight="1" x14ac:dyDescent="0.35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1"/>
      <c r="V548" s="1"/>
      <c r="W548" s="1"/>
      <c r="X548" s="1"/>
      <c r="Y548" s="1"/>
    </row>
    <row r="549" spans="1:25" ht="15.75" customHeight="1" x14ac:dyDescent="0.35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1"/>
      <c r="V549" s="1"/>
      <c r="W549" s="1"/>
      <c r="X549" s="1"/>
      <c r="Y549" s="1"/>
    </row>
    <row r="550" spans="1:25" ht="15.75" customHeight="1" x14ac:dyDescent="0.35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1"/>
      <c r="V550" s="1"/>
      <c r="W550" s="1"/>
      <c r="X550" s="1"/>
      <c r="Y550" s="1"/>
    </row>
    <row r="551" spans="1:25" ht="15.75" customHeight="1" x14ac:dyDescent="0.35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1"/>
      <c r="V551" s="1"/>
      <c r="W551" s="1"/>
      <c r="X551" s="1"/>
      <c r="Y551" s="1"/>
    </row>
    <row r="552" spans="1:25" ht="15.75" customHeight="1" x14ac:dyDescent="0.35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1"/>
      <c r="V552" s="1"/>
      <c r="W552" s="1"/>
      <c r="X552" s="1"/>
      <c r="Y552" s="1"/>
    </row>
    <row r="553" spans="1:25" ht="15.75" customHeight="1" x14ac:dyDescent="0.35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1"/>
      <c r="V553" s="1"/>
      <c r="W553" s="1"/>
      <c r="X553" s="1"/>
      <c r="Y553" s="1"/>
    </row>
    <row r="554" spans="1:25" ht="15.75" customHeight="1" x14ac:dyDescent="0.35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1"/>
      <c r="V554" s="1"/>
      <c r="W554" s="1"/>
      <c r="X554" s="1"/>
      <c r="Y554" s="1"/>
    </row>
    <row r="555" spans="1:25" ht="15.75" customHeight="1" x14ac:dyDescent="0.3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1"/>
      <c r="V555" s="1"/>
      <c r="W555" s="1"/>
      <c r="X555" s="1"/>
      <c r="Y555" s="1"/>
    </row>
    <row r="556" spans="1:25" ht="15.75" customHeight="1" x14ac:dyDescent="0.35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1"/>
      <c r="V556" s="1"/>
      <c r="W556" s="1"/>
      <c r="X556" s="1"/>
      <c r="Y556" s="1"/>
    </row>
    <row r="557" spans="1:25" ht="15.75" customHeight="1" x14ac:dyDescent="0.35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1"/>
      <c r="V557" s="1"/>
      <c r="W557" s="1"/>
      <c r="X557" s="1"/>
      <c r="Y557" s="1"/>
    </row>
    <row r="558" spans="1:25" ht="15.75" customHeight="1" x14ac:dyDescent="0.35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1"/>
      <c r="V558" s="1"/>
      <c r="W558" s="1"/>
      <c r="X558" s="1"/>
      <c r="Y558" s="1"/>
    </row>
    <row r="559" spans="1:25" ht="15.75" customHeight="1" x14ac:dyDescent="0.35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1"/>
      <c r="V559" s="1"/>
      <c r="W559" s="1"/>
      <c r="X559" s="1"/>
      <c r="Y559" s="1"/>
    </row>
    <row r="560" spans="1:25" ht="15.75" customHeight="1" x14ac:dyDescent="0.35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1"/>
      <c r="V560" s="1"/>
      <c r="W560" s="1"/>
      <c r="X560" s="1"/>
      <c r="Y560" s="1"/>
    </row>
    <row r="561" spans="1:25" ht="15.75" customHeight="1" x14ac:dyDescent="0.35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1"/>
      <c r="V561" s="1"/>
      <c r="W561" s="1"/>
      <c r="X561" s="1"/>
      <c r="Y561" s="1"/>
    </row>
    <row r="562" spans="1:25" ht="15.75" customHeight="1" x14ac:dyDescent="0.35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1"/>
      <c r="V562" s="1"/>
      <c r="W562" s="1"/>
      <c r="X562" s="1"/>
      <c r="Y562" s="1"/>
    </row>
    <row r="563" spans="1:25" ht="15.75" customHeight="1" x14ac:dyDescent="0.35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1"/>
      <c r="V563" s="1"/>
      <c r="W563" s="1"/>
      <c r="X563" s="1"/>
      <c r="Y563" s="1"/>
    </row>
    <row r="564" spans="1:25" ht="15.75" customHeight="1" x14ac:dyDescent="0.35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1"/>
      <c r="V564" s="1"/>
      <c r="W564" s="1"/>
      <c r="X564" s="1"/>
      <c r="Y564" s="1"/>
    </row>
    <row r="565" spans="1:25" ht="15.75" customHeight="1" x14ac:dyDescent="0.3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1"/>
      <c r="V565" s="1"/>
      <c r="W565" s="1"/>
      <c r="X565" s="1"/>
      <c r="Y565" s="1"/>
    </row>
    <row r="566" spans="1:25" ht="15.75" customHeight="1" x14ac:dyDescent="0.35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1"/>
      <c r="V566" s="1"/>
      <c r="W566" s="1"/>
      <c r="X566" s="1"/>
      <c r="Y566" s="1"/>
    </row>
    <row r="567" spans="1:25" ht="15.75" customHeight="1" x14ac:dyDescent="0.35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1"/>
      <c r="V567" s="1"/>
      <c r="W567" s="1"/>
      <c r="X567" s="1"/>
      <c r="Y567" s="1"/>
    </row>
    <row r="568" spans="1:25" ht="15.75" customHeight="1" x14ac:dyDescent="0.35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1"/>
      <c r="V568" s="1"/>
      <c r="W568" s="1"/>
      <c r="X568" s="1"/>
      <c r="Y568" s="1"/>
    </row>
    <row r="569" spans="1:25" ht="15.75" customHeight="1" x14ac:dyDescent="0.35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1"/>
      <c r="V569" s="1"/>
      <c r="W569" s="1"/>
      <c r="X569" s="1"/>
      <c r="Y569" s="1"/>
    </row>
    <row r="570" spans="1:25" ht="15.75" customHeight="1" x14ac:dyDescent="0.35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1"/>
      <c r="V570" s="1"/>
      <c r="W570" s="1"/>
      <c r="X570" s="1"/>
      <c r="Y570" s="1"/>
    </row>
    <row r="571" spans="1:25" ht="15.75" customHeight="1" x14ac:dyDescent="0.35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1"/>
      <c r="V571" s="1"/>
      <c r="W571" s="1"/>
      <c r="X571" s="1"/>
      <c r="Y571" s="1"/>
    </row>
    <row r="572" spans="1:25" ht="15.75" customHeight="1" x14ac:dyDescent="0.35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1"/>
      <c r="V572" s="1"/>
      <c r="W572" s="1"/>
      <c r="X572" s="1"/>
      <c r="Y572" s="1"/>
    </row>
    <row r="573" spans="1:25" ht="15.75" customHeight="1" x14ac:dyDescent="0.35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1"/>
      <c r="V573" s="1"/>
      <c r="W573" s="1"/>
      <c r="X573" s="1"/>
      <c r="Y573" s="1"/>
    </row>
    <row r="574" spans="1:25" ht="15.75" customHeight="1" x14ac:dyDescent="0.35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1"/>
      <c r="V574" s="1"/>
      <c r="W574" s="1"/>
      <c r="X574" s="1"/>
      <c r="Y574" s="1"/>
    </row>
    <row r="575" spans="1:25" ht="15.75" customHeight="1" x14ac:dyDescent="0.3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1"/>
      <c r="V575" s="1"/>
      <c r="W575" s="1"/>
      <c r="X575" s="1"/>
      <c r="Y575" s="1"/>
    </row>
    <row r="576" spans="1:25" ht="15.75" customHeight="1" x14ac:dyDescent="0.35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1"/>
      <c r="V576" s="1"/>
      <c r="W576" s="1"/>
      <c r="X576" s="1"/>
      <c r="Y576" s="1"/>
    </row>
    <row r="577" spans="1:25" ht="15.75" customHeight="1" x14ac:dyDescent="0.35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1"/>
      <c r="V577" s="1"/>
      <c r="W577" s="1"/>
      <c r="X577" s="1"/>
      <c r="Y577" s="1"/>
    </row>
    <row r="578" spans="1:25" ht="15.75" customHeight="1" x14ac:dyDescent="0.35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1"/>
      <c r="V578" s="1"/>
      <c r="W578" s="1"/>
      <c r="X578" s="1"/>
      <c r="Y578" s="1"/>
    </row>
    <row r="579" spans="1:25" ht="15.75" customHeight="1" x14ac:dyDescent="0.35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1"/>
      <c r="V579" s="1"/>
      <c r="W579" s="1"/>
      <c r="X579" s="1"/>
      <c r="Y579" s="1"/>
    </row>
    <row r="580" spans="1:25" ht="15.75" customHeight="1" x14ac:dyDescent="0.35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1"/>
      <c r="V580" s="1"/>
      <c r="W580" s="1"/>
      <c r="X580" s="1"/>
      <c r="Y580" s="1"/>
    </row>
    <row r="581" spans="1:25" ht="15.75" customHeight="1" x14ac:dyDescent="0.35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1"/>
      <c r="V581" s="1"/>
      <c r="W581" s="1"/>
      <c r="X581" s="1"/>
      <c r="Y581" s="1"/>
    </row>
    <row r="582" spans="1:25" ht="15.75" customHeight="1" x14ac:dyDescent="0.35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1"/>
      <c r="V582" s="1"/>
      <c r="W582" s="1"/>
      <c r="X582" s="1"/>
      <c r="Y582" s="1"/>
    </row>
    <row r="583" spans="1:25" ht="15.75" customHeight="1" x14ac:dyDescent="0.35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1"/>
      <c r="V583" s="1"/>
      <c r="W583" s="1"/>
      <c r="X583" s="1"/>
      <c r="Y583" s="1"/>
    </row>
    <row r="584" spans="1:25" ht="15.75" customHeight="1" x14ac:dyDescent="0.35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1"/>
      <c r="V584" s="1"/>
      <c r="W584" s="1"/>
      <c r="X584" s="1"/>
      <c r="Y584" s="1"/>
    </row>
    <row r="585" spans="1:25" ht="15.75" customHeight="1" x14ac:dyDescent="0.3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1"/>
      <c r="V585" s="1"/>
      <c r="W585" s="1"/>
      <c r="X585" s="1"/>
      <c r="Y585" s="1"/>
    </row>
    <row r="586" spans="1:25" ht="15.75" customHeight="1" x14ac:dyDescent="0.35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1"/>
      <c r="V586" s="1"/>
      <c r="W586" s="1"/>
      <c r="X586" s="1"/>
      <c r="Y586" s="1"/>
    </row>
    <row r="587" spans="1:25" ht="15.75" customHeight="1" x14ac:dyDescent="0.35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1"/>
      <c r="V587" s="1"/>
      <c r="W587" s="1"/>
      <c r="X587" s="1"/>
      <c r="Y587" s="1"/>
    </row>
    <row r="588" spans="1:25" ht="15.75" customHeight="1" x14ac:dyDescent="0.35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1"/>
      <c r="V588" s="1"/>
      <c r="W588" s="1"/>
      <c r="X588" s="1"/>
      <c r="Y588" s="1"/>
    </row>
    <row r="589" spans="1:25" ht="15.75" customHeight="1" x14ac:dyDescent="0.35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1"/>
      <c r="V589" s="1"/>
      <c r="W589" s="1"/>
      <c r="X589" s="1"/>
      <c r="Y589" s="1"/>
    </row>
    <row r="590" spans="1:25" ht="15.75" customHeight="1" x14ac:dyDescent="0.35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1"/>
      <c r="V590" s="1"/>
      <c r="W590" s="1"/>
      <c r="X590" s="1"/>
      <c r="Y590" s="1"/>
    </row>
    <row r="591" spans="1:25" ht="15.75" customHeight="1" x14ac:dyDescent="0.35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1"/>
      <c r="V591" s="1"/>
      <c r="W591" s="1"/>
      <c r="X591" s="1"/>
      <c r="Y591" s="1"/>
    </row>
    <row r="592" spans="1:25" ht="15.75" customHeight="1" x14ac:dyDescent="0.35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1"/>
      <c r="V592" s="1"/>
      <c r="W592" s="1"/>
      <c r="X592" s="1"/>
      <c r="Y592" s="1"/>
    </row>
    <row r="593" spans="1:25" ht="15.75" customHeight="1" x14ac:dyDescent="0.35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1"/>
      <c r="V593" s="1"/>
      <c r="W593" s="1"/>
      <c r="X593" s="1"/>
      <c r="Y593" s="1"/>
    </row>
    <row r="594" spans="1:25" ht="15.75" customHeight="1" x14ac:dyDescent="0.35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1"/>
      <c r="V594" s="1"/>
      <c r="W594" s="1"/>
      <c r="X594" s="1"/>
      <c r="Y594" s="1"/>
    </row>
    <row r="595" spans="1:25" ht="15.75" customHeight="1" x14ac:dyDescent="0.3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1"/>
      <c r="V595" s="1"/>
      <c r="W595" s="1"/>
      <c r="X595" s="1"/>
      <c r="Y595" s="1"/>
    </row>
    <row r="596" spans="1:25" ht="15.75" customHeight="1" x14ac:dyDescent="0.35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1"/>
      <c r="V596" s="1"/>
      <c r="W596" s="1"/>
      <c r="X596" s="1"/>
      <c r="Y596" s="1"/>
    </row>
    <row r="597" spans="1:25" ht="15.75" customHeight="1" x14ac:dyDescent="0.35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1"/>
      <c r="V597" s="1"/>
      <c r="W597" s="1"/>
      <c r="X597" s="1"/>
      <c r="Y597" s="1"/>
    </row>
    <row r="598" spans="1:25" ht="15.75" customHeight="1" x14ac:dyDescent="0.35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1"/>
      <c r="V598" s="1"/>
      <c r="W598" s="1"/>
      <c r="X598" s="1"/>
      <c r="Y598" s="1"/>
    </row>
    <row r="599" spans="1:25" ht="15.75" customHeight="1" x14ac:dyDescent="0.35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1"/>
      <c r="V599" s="1"/>
      <c r="W599" s="1"/>
      <c r="X599" s="1"/>
      <c r="Y599" s="1"/>
    </row>
    <row r="600" spans="1:25" ht="15.75" customHeight="1" x14ac:dyDescent="0.35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1"/>
      <c r="V600" s="1"/>
      <c r="W600" s="1"/>
      <c r="X600" s="1"/>
      <c r="Y600" s="1"/>
    </row>
    <row r="601" spans="1:25" ht="15.75" customHeight="1" x14ac:dyDescent="0.35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1"/>
      <c r="V601" s="1"/>
      <c r="W601" s="1"/>
      <c r="X601" s="1"/>
      <c r="Y601" s="1"/>
    </row>
    <row r="602" spans="1:25" ht="15.75" customHeight="1" x14ac:dyDescent="0.35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1"/>
      <c r="V602" s="1"/>
      <c r="W602" s="1"/>
      <c r="X602" s="1"/>
      <c r="Y602" s="1"/>
    </row>
    <row r="603" spans="1:25" ht="15.75" customHeight="1" x14ac:dyDescent="0.35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1"/>
      <c r="V603" s="1"/>
      <c r="W603" s="1"/>
      <c r="X603" s="1"/>
      <c r="Y603" s="1"/>
    </row>
    <row r="604" spans="1:25" ht="15.75" customHeight="1" x14ac:dyDescent="0.35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1"/>
      <c r="V604" s="1"/>
      <c r="W604" s="1"/>
      <c r="X604" s="1"/>
      <c r="Y604" s="1"/>
    </row>
    <row r="605" spans="1:25" ht="15.75" customHeight="1" x14ac:dyDescent="0.3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1"/>
      <c r="V605" s="1"/>
      <c r="W605" s="1"/>
      <c r="X605" s="1"/>
      <c r="Y605" s="1"/>
    </row>
    <row r="606" spans="1:25" ht="15.75" customHeight="1" x14ac:dyDescent="0.35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1"/>
      <c r="V606" s="1"/>
      <c r="W606" s="1"/>
      <c r="X606" s="1"/>
      <c r="Y606" s="1"/>
    </row>
    <row r="607" spans="1:25" ht="15.75" customHeight="1" x14ac:dyDescent="0.35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1"/>
      <c r="V607" s="1"/>
      <c r="W607" s="1"/>
      <c r="X607" s="1"/>
      <c r="Y607" s="1"/>
    </row>
    <row r="608" spans="1:25" ht="15.75" customHeight="1" x14ac:dyDescent="0.35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1"/>
      <c r="V608" s="1"/>
      <c r="W608" s="1"/>
      <c r="X608" s="1"/>
      <c r="Y608" s="1"/>
    </row>
    <row r="609" spans="1:25" ht="15.75" customHeight="1" x14ac:dyDescent="0.35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1"/>
      <c r="V609" s="1"/>
      <c r="W609" s="1"/>
      <c r="X609" s="1"/>
      <c r="Y609" s="1"/>
    </row>
    <row r="610" spans="1:25" ht="15.75" customHeight="1" x14ac:dyDescent="0.35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1"/>
      <c r="V610" s="1"/>
      <c r="W610" s="1"/>
      <c r="X610" s="1"/>
      <c r="Y610" s="1"/>
    </row>
    <row r="611" spans="1:25" ht="15.75" customHeight="1" x14ac:dyDescent="0.35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1"/>
      <c r="V611" s="1"/>
      <c r="W611" s="1"/>
      <c r="X611" s="1"/>
      <c r="Y611" s="1"/>
    </row>
    <row r="612" spans="1:25" ht="15.75" customHeight="1" x14ac:dyDescent="0.35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1"/>
      <c r="V612" s="1"/>
      <c r="W612" s="1"/>
      <c r="X612" s="1"/>
      <c r="Y612" s="1"/>
    </row>
    <row r="613" spans="1:25" ht="15.75" customHeight="1" x14ac:dyDescent="0.35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1"/>
      <c r="V613" s="1"/>
      <c r="W613" s="1"/>
      <c r="X613" s="1"/>
      <c r="Y613" s="1"/>
    </row>
    <row r="614" spans="1:25" ht="15.75" customHeight="1" x14ac:dyDescent="0.35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1"/>
      <c r="V614" s="1"/>
      <c r="W614" s="1"/>
      <c r="X614" s="1"/>
      <c r="Y614" s="1"/>
    </row>
    <row r="615" spans="1:25" ht="15.75" customHeight="1" x14ac:dyDescent="0.3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1"/>
      <c r="V615" s="1"/>
      <c r="W615" s="1"/>
      <c r="X615" s="1"/>
      <c r="Y615" s="1"/>
    </row>
    <row r="616" spans="1:25" ht="15.75" customHeight="1" x14ac:dyDescent="0.35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1"/>
      <c r="V616" s="1"/>
      <c r="W616" s="1"/>
      <c r="X616" s="1"/>
      <c r="Y616" s="1"/>
    </row>
    <row r="617" spans="1:25" ht="15.75" customHeight="1" x14ac:dyDescent="0.35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1"/>
      <c r="V617" s="1"/>
      <c r="W617" s="1"/>
      <c r="X617" s="1"/>
      <c r="Y617" s="1"/>
    </row>
    <row r="618" spans="1:25" ht="15.75" customHeight="1" x14ac:dyDescent="0.35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1"/>
      <c r="V618" s="1"/>
      <c r="W618" s="1"/>
      <c r="X618" s="1"/>
      <c r="Y618" s="1"/>
    </row>
    <row r="619" spans="1:25" ht="15.75" customHeight="1" x14ac:dyDescent="0.35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1"/>
      <c r="V619" s="1"/>
      <c r="W619" s="1"/>
      <c r="X619" s="1"/>
      <c r="Y619" s="1"/>
    </row>
    <row r="620" spans="1:25" ht="15.75" customHeight="1" x14ac:dyDescent="0.35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1"/>
      <c r="V620" s="1"/>
      <c r="W620" s="1"/>
      <c r="X620" s="1"/>
      <c r="Y620" s="1"/>
    </row>
    <row r="621" spans="1:25" ht="15.75" customHeight="1" x14ac:dyDescent="0.35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1"/>
      <c r="V621" s="1"/>
      <c r="W621" s="1"/>
      <c r="X621" s="1"/>
      <c r="Y621" s="1"/>
    </row>
    <row r="622" spans="1:25" ht="15.75" customHeight="1" x14ac:dyDescent="0.35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1"/>
      <c r="V622" s="1"/>
      <c r="W622" s="1"/>
      <c r="X622" s="1"/>
      <c r="Y622" s="1"/>
    </row>
    <row r="623" spans="1:25" ht="15.75" customHeight="1" x14ac:dyDescent="0.35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1"/>
      <c r="V623" s="1"/>
      <c r="W623" s="1"/>
      <c r="X623" s="1"/>
      <c r="Y623" s="1"/>
    </row>
    <row r="624" spans="1:25" ht="15.75" customHeight="1" x14ac:dyDescent="0.35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1"/>
      <c r="V624" s="1"/>
      <c r="W624" s="1"/>
      <c r="X624" s="1"/>
      <c r="Y624" s="1"/>
    </row>
    <row r="625" spans="1:25" ht="15.75" customHeight="1" x14ac:dyDescent="0.3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1"/>
      <c r="V625" s="1"/>
      <c r="W625" s="1"/>
      <c r="X625" s="1"/>
      <c r="Y625" s="1"/>
    </row>
    <row r="626" spans="1:25" ht="15.75" customHeight="1" x14ac:dyDescent="0.35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1"/>
      <c r="V626" s="1"/>
      <c r="W626" s="1"/>
      <c r="X626" s="1"/>
      <c r="Y626" s="1"/>
    </row>
    <row r="627" spans="1:25" ht="15.75" customHeight="1" x14ac:dyDescent="0.35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1"/>
      <c r="V627" s="1"/>
      <c r="W627" s="1"/>
      <c r="X627" s="1"/>
      <c r="Y627" s="1"/>
    </row>
    <row r="628" spans="1:25" ht="15.75" customHeight="1" x14ac:dyDescent="0.35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1"/>
      <c r="V628" s="1"/>
      <c r="W628" s="1"/>
      <c r="X628" s="1"/>
      <c r="Y628" s="1"/>
    </row>
    <row r="629" spans="1:25" ht="15.75" customHeight="1" x14ac:dyDescent="0.35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1"/>
      <c r="V629" s="1"/>
      <c r="W629" s="1"/>
      <c r="X629" s="1"/>
      <c r="Y629" s="1"/>
    </row>
    <row r="630" spans="1:25" ht="15.75" customHeight="1" x14ac:dyDescent="0.35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1"/>
      <c r="V630" s="1"/>
      <c r="W630" s="1"/>
      <c r="X630" s="1"/>
      <c r="Y630" s="1"/>
    </row>
    <row r="631" spans="1:25" ht="15.75" customHeight="1" x14ac:dyDescent="0.35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1"/>
      <c r="V631" s="1"/>
      <c r="W631" s="1"/>
      <c r="X631" s="1"/>
      <c r="Y631" s="1"/>
    </row>
    <row r="632" spans="1:25" ht="15.75" customHeight="1" x14ac:dyDescent="0.35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1"/>
      <c r="V632" s="1"/>
      <c r="W632" s="1"/>
      <c r="X632" s="1"/>
      <c r="Y632" s="1"/>
    </row>
    <row r="633" spans="1:25" ht="15.75" customHeight="1" x14ac:dyDescent="0.35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1"/>
      <c r="V633" s="1"/>
      <c r="W633" s="1"/>
      <c r="X633" s="1"/>
      <c r="Y633" s="1"/>
    </row>
    <row r="634" spans="1:25" ht="15.75" customHeight="1" x14ac:dyDescent="0.35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1"/>
      <c r="V634" s="1"/>
      <c r="W634" s="1"/>
      <c r="X634" s="1"/>
      <c r="Y634" s="1"/>
    </row>
    <row r="635" spans="1:25" ht="15.75" customHeight="1" x14ac:dyDescent="0.3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1"/>
      <c r="V635" s="1"/>
      <c r="W635" s="1"/>
      <c r="X635" s="1"/>
      <c r="Y635" s="1"/>
    </row>
    <row r="636" spans="1:25" ht="15.75" customHeight="1" x14ac:dyDescent="0.35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1"/>
      <c r="V636" s="1"/>
      <c r="W636" s="1"/>
      <c r="X636" s="1"/>
      <c r="Y636" s="1"/>
    </row>
    <row r="637" spans="1:25" ht="15.75" customHeight="1" x14ac:dyDescent="0.35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1"/>
      <c r="V637" s="1"/>
      <c r="W637" s="1"/>
      <c r="X637" s="1"/>
      <c r="Y637" s="1"/>
    </row>
    <row r="638" spans="1:25" ht="15.75" customHeight="1" x14ac:dyDescent="0.35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1"/>
      <c r="V638" s="1"/>
      <c r="W638" s="1"/>
      <c r="X638" s="1"/>
      <c r="Y638" s="1"/>
    </row>
    <row r="639" spans="1:25" ht="15.75" customHeight="1" x14ac:dyDescent="0.35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1"/>
      <c r="V639" s="1"/>
      <c r="W639" s="1"/>
      <c r="X639" s="1"/>
      <c r="Y639" s="1"/>
    </row>
    <row r="640" spans="1:25" ht="15.75" customHeight="1" x14ac:dyDescent="0.35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1"/>
      <c r="V640" s="1"/>
      <c r="W640" s="1"/>
      <c r="X640" s="1"/>
      <c r="Y640" s="1"/>
    </row>
    <row r="641" spans="1:25" ht="15.75" customHeight="1" x14ac:dyDescent="0.35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1"/>
      <c r="V641" s="1"/>
      <c r="W641" s="1"/>
      <c r="X641" s="1"/>
      <c r="Y641" s="1"/>
    </row>
    <row r="642" spans="1:25" ht="15.75" customHeight="1" x14ac:dyDescent="0.35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1"/>
      <c r="V642" s="1"/>
      <c r="W642" s="1"/>
      <c r="X642" s="1"/>
      <c r="Y642" s="1"/>
    </row>
    <row r="643" spans="1:25" ht="15.75" customHeight="1" x14ac:dyDescent="0.35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1"/>
      <c r="V643" s="1"/>
      <c r="W643" s="1"/>
      <c r="X643" s="1"/>
      <c r="Y643" s="1"/>
    </row>
    <row r="644" spans="1:25" ht="15.75" customHeight="1" x14ac:dyDescent="0.35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1"/>
      <c r="V644" s="1"/>
      <c r="W644" s="1"/>
      <c r="X644" s="1"/>
      <c r="Y644" s="1"/>
    </row>
    <row r="645" spans="1:25" ht="15.75" customHeight="1" x14ac:dyDescent="0.3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1"/>
      <c r="V645" s="1"/>
      <c r="W645" s="1"/>
      <c r="X645" s="1"/>
      <c r="Y645" s="1"/>
    </row>
    <row r="646" spans="1:25" ht="15.75" customHeight="1" x14ac:dyDescent="0.35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1"/>
      <c r="V646" s="1"/>
      <c r="W646" s="1"/>
      <c r="X646" s="1"/>
      <c r="Y646" s="1"/>
    </row>
    <row r="647" spans="1:25" ht="15.75" customHeight="1" x14ac:dyDescent="0.35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1"/>
      <c r="V647" s="1"/>
      <c r="W647" s="1"/>
      <c r="X647" s="1"/>
      <c r="Y647" s="1"/>
    </row>
    <row r="648" spans="1:25" ht="15.75" customHeight="1" x14ac:dyDescent="0.35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1"/>
      <c r="V648" s="1"/>
      <c r="W648" s="1"/>
      <c r="X648" s="1"/>
      <c r="Y648" s="1"/>
    </row>
    <row r="649" spans="1:25" ht="15.75" customHeight="1" x14ac:dyDescent="0.35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1"/>
      <c r="V649" s="1"/>
      <c r="W649" s="1"/>
      <c r="X649" s="1"/>
      <c r="Y649" s="1"/>
    </row>
    <row r="650" spans="1:25" ht="15.75" customHeight="1" x14ac:dyDescent="0.35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1"/>
      <c r="V650" s="1"/>
      <c r="W650" s="1"/>
      <c r="X650" s="1"/>
      <c r="Y650" s="1"/>
    </row>
    <row r="651" spans="1:25" ht="15.75" customHeight="1" x14ac:dyDescent="0.35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1"/>
      <c r="V651" s="1"/>
      <c r="W651" s="1"/>
      <c r="X651" s="1"/>
      <c r="Y651" s="1"/>
    </row>
    <row r="652" spans="1:25" ht="15.75" customHeight="1" x14ac:dyDescent="0.35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1"/>
      <c r="V652" s="1"/>
      <c r="W652" s="1"/>
      <c r="X652" s="1"/>
      <c r="Y652" s="1"/>
    </row>
    <row r="653" spans="1:25" ht="15.75" customHeight="1" x14ac:dyDescent="0.35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1"/>
      <c r="V653" s="1"/>
      <c r="W653" s="1"/>
      <c r="X653" s="1"/>
      <c r="Y653" s="1"/>
    </row>
    <row r="654" spans="1:25" ht="15.75" customHeight="1" x14ac:dyDescent="0.35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1"/>
      <c r="V654" s="1"/>
      <c r="W654" s="1"/>
      <c r="X654" s="1"/>
      <c r="Y654" s="1"/>
    </row>
    <row r="655" spans="1:25" ht="15.75" customHeight="1" x14ac:dyDescent="0.3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1"/>
      <c r="V655" s="1"/>
      <c r="W655" s="1"/>
      <c r="X655" s="1"/>
      <c r="Y655" s="1"/>
    </row>
    <row r="656" spans="1:25" ht="15.75" customHeight="1" x14ac:dyDescent="0.35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1"/>
      <c r="V656" s="1"/>
      <c r="W656" s="1"/>
      <c r="X656" s="1"/>
      <c r="Y656" s="1"/>
    </row>
    <row r="657" spans="1:25" ht="15.75" customHeight="1" x14ac:dyDescent="0.35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1"/>
      <c r="V657" s="1"/>
      <c r="W657" s="1"/>
      <c r="X657" s="1"/>
      <c r="Y657" s="1"/>
    </row>
    <row r="658" spans="1:25" ht="15.75" customHeight="1" x14ac:dyDescent="0.35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1"/>
      <c r="V658" s="1"/>
      <c r="W658" s="1"/>
      <c r="X658" s="1"/>
      <c r="Y658" s="1"/>
    </row>
    <row r="659" spans="1:25" ht="15.75" customHeight="1" x14ac:dyDescent="0.35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1"/>
      <c r="V659" s="1"/>
      <c r="W659" s="1"/>
      <c r="X659" s="1"/>
      <c r="Y659" s="1"/>
    </row>
    <row r="660" spans="1:25" ht="15.75" customHeight="1" x14ac:dyDescent="0.35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1"/>
      <c r="V660" s="1"/>
      <c r="W660" s="1"/>
      <c r="X660" s="1"/>
      <c r="Y660" s="1"/>
    </row>
    <row r="661" spans="1:25" ht="15.75" customHeight="1" x14ac:dyDescent="0.35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1"/>
      <c r="V661" s="1"/>
      <c r="W661" s="1"/>
      <c r="X661" s="1"/>
      <c r="Y661" s="1"/>
    </row>
    <row r="662" spans="1:25" ht="15.75" customHeight="1" x14ac:dyDescent="0.35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1"/>
      <c r="V662" s="1"/>
      <c r="W662" s="1"/>
      <c r="X662" s="1"/>
      <c r="Y662" s="1"/>
    </row>
    <row r="663" spans="1:25" ht="15.75" customHeight="1" x14ac:dyDescent="0.35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1"/>
      <c r="V663" s="1"/>
      <c r="W663" s="1"/>
      <c r="X663" s="1"/>
      <c r="Y663" s="1"/>
    </row>
    <row r="664" spans="1:25" ht="15.75" customHeight="1" x14ac:dyDescent="0.35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1"/>
      <c r="V664" s="1"/>
      <c r="W664" s="1"/>
      <c r="X664" s="1"/>
      <c r="Y664" s="1"/>
    </row>
    <row r="665" spans="1:25" ht="15.75" customHeight="1" x14ac:dyDescent="0.3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1"/>
      <c r="V665" s="1"/>
      <c r="W665" s="1"/>
      <c r="X665" s="1"/>
      <c r="Y665" s="1"/>
    </row>
    <row r="666" spans="1:25" ht="15.75" customHeight="1" x14ac:dyDescent="0.35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1"/>
      <c r="V666" s="1"/>
      <c r="W666" s="1"/>
      <c r="X666" s="1"/>
      <c r="Y666" s="1"/>
    </row>
    <row r="667" spans="1:25" ht="15.75" customHeight="1" x14ac:dyDescent="0.35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1"/>
      <c r="V667" s="1"/>
      <c r="W667" s="1"/>
      <c r="X667" s="1"/>
      <c r="Y667" s="1"/>
    </row>
    <row r="668" spans="1:25" ht="15.75" customHeight="1" x14ac:dyDescent="0.35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1"/>
      <c r="V668" s="1"/>
      <c r="W668" s="1"/>
      <c r="X668" s="1"/>
      <c r="Y668" s="1"/>
    </row>
    <row r="669" spans="1:25" ht="15.75" customHeight="1" x14ac:dyDescent="0.35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1"/>
      <c r="V669" s="1"/>
      <c r="W669" s="1"/>
      <c r="X669" s="1"/>
      <c r="Y669" s="1"/>
    </row>
    <row r="670" spans="1:25" ht="15.75" customHeight="1" x14ac:dyDescent="0.35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1"/>
      <c r="V670" s="1"/>
      <c r="W670" s="1"/>
      <c r="X670" s="1"/>
      <c r="Y670" s="1"/>
    </row>
    <row r="671" spans="1:25" ht="15.75" customHeight="1" x14ac:dyDescent="0.35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1"/>
      <c r="V671" s="1"/>
      <c r="W671" s="1"/>
      <c r="X671" s="1"/>
      <c r="Y671" s="1"/>
    </row>
    <row r="672" spans="1:25" ht="15.75" customHeight="1" x14ac:dyDescent="0.35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1"/>
      <c r="V672" s="1"/>
      <c r="W672" s="1"/>
      <c r="X672" s="1"/>
      <c r="Y672" s="1"/>
    </row>
    <row r="673" spans="1:25" ht="15.75" customHeight="1" x14ac:dyDescent="0.35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1"/>
      <c r="V673" s="1"/>
      <c r="W673" s="1"/>
      <c r="X673" s="1"/>
      <c r="Y673" s="1"/>
    </row>
    <row r="674" spans="1:25" ht="15.75" customHeight="1" x14ac:dyDescent="0.35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1"/>
      <c r="V674" s="1"/>
      <c r="W674" s="1"/>
      <c r="X674" s="1"/>
      <c r="Y674" s="1"/>
    </row>
    <row r="675" spans="1:25" ht="15.75" customHeight="1" x14ac:dyDescent="0.3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1"/>
      <c r="V675" s="1"/>
      <c r="W675" s="1"/>
      <c r="X675" s="1"/>
      <c r="Y675" s="1"/>
    </row>
    <row r="676" spans="1:25" ht="15.75" customHeight="1" x14ac:dyDescent="0.35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1"/>
      <c r="V676" s="1"/>
      <c r="W676" s="1"/>
      <c r="X676" s="1"/>
      <c r="Y676" s="1"/>
    </row>
    <row r="677" spans="1:25" ht="15.75" customHeight="1" x14ac:dyDescent="0.35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1"/>
      <c r="V677" s="1"/>
      <c r="W677" s="1"/>
      <c r="X677" s="1"/>
      <c r="Y677" s="1"/>
    </row>
    <row r="678" spans="1:25" ht="15.75" customHeight="1" x14ac:dyDescent="0.35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1"/>
      <c r="V678" s="1"/>
      <c r="W678" s="1"/>
      <c r="X678" s="1"/>
      <c r="Y678" s="1"/>
    </row>
    <row r="679" spans="1:25" ht="15.75" customHeight="1" x14ac:dyDescent="0.35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1"/>
      <c r="V679" s="1"/>
      <c r="W679" s="1"/>
      <c r="X679" s="1"/>
      <c r="Y679" s="1"/>
    </row>
    <row r="680" spans="1:25" ht="15.75" customHeight="1" x14ac:dyDescent="0.35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1"/>
      <c r="V680" s="1"/>
      <c r="W680" s="1"/>
      <c r="X680" s="1"/>
      <c r="Y680" s="1"/>
    </row>
    <row r="681" spans="1:25" ht="15.75" customHeight="1" x14ac:dyDescent="0.35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1"/>
      <c r="V681" s="1"/>
      <c r="W681" s="1"/>
      <c r="X681" s="1"/>
      <c r="Y681" s="1"/>
    </row>
    <row r="682" spans="1:25" ht="15.75" customHeight="1" x14ac:dyDescent="0.35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1"/>
      <c r="V682" s="1"/>
      <c r="W682" s="1"/>
      <c r="X682" s="1"/>
      <c r="Y682" s="1"/>
    </row>
    <row r="683" spans="1:25" ht="15.75" customHeight="1" x14ac:dyDescent="0.35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1"/>
      <c r="V683" s="1"/>
      <c r="W683" s="1"/>
      <c r="X683" s="1"/>
      <c r="Y683" s="1"/>
    </row>
    <row r="684" spans="1:25" ht="15.75" customHeight="1" x14ac:dyDescent="0.35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1"/>
      <c r="V684" s="1"/>
      <c r="W684" s="1"/>
      <c r="X684" s="1"/>
      <c r="Y684" s="1"/>
    </row>
    <row r="685" spans="1:25" ht="15.75" customHeight="1" x14ac:dyDescent="0.3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1"/>
      <c r="V685" s="1"/>
      <c r="W685" s="1"/>
      <c r="X685" s="1"/>
      <c r="Y685" s="1"/>
    </row>
    <row r="686" spans="1:25" ht="15.75" customHeight="1" x14ac:dyDescent="0.35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1"/>
      <c r="V686" s="1"/>
      <c r="W686" s="1"/>
      <c r="X686" s="1"/>
      <c r="Y686" s="1"/>
    </row>
    <row r="687" spans="1:25" ht="15.75" customHeight="1" x14ac:dyDescent="0.35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1"/>
      <c r="V687" s="1"/>
      <c r="W687" s="1"/>
      <c r="X687" s="1"/>
      <c r="Y687" s="1"/>
    </row>
    <row r="688" spans="1:25" ht="15.75" customHeight="1" x14ac:dyDescent="0.35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1"/>
      <c r="V688" s="1"/>
      <c r="W688" s="1"/>
      <c r="X688" s="1"/>
      <c r="Y688" s="1"/>
    </row>
    <row r="689" spans="1:25" ht="15.75" customHeight="1" x14ac:dyDescent="0.35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1"/>
      <c r="V689" s="1"/>
      <c r="W689" s="1"/>
      <c r="X689" s="1"/>
      <c r="Y689" s="1"/>
    </row>
    <row r="690" spans="1:25" ht="15.75" customHeight="1" x14ac:dyDescent="0.35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1"/>
      <c r="V690" s="1"/>
      <c r="W690" s="1"/>
      <c r="X690" s="1"/>
      <c r="Y690" s="1"/>
    </row>
    <row r="691" spans="1:25" ht="15.75" customHeight="1" x14ac:dyDescent="0.35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1"/>
      <c r="V691" s="1"/>
      <c r="W691" s="1"/>
      <c r="X691" s="1"/>
      <c r="Y691" s="1"/>
    </row>
    <row r="692" spans="1:25" ht="15.75" customHeight="1" x14ac:dyDescent="0.35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1"/>
      <c r="V692" s="1"/>
      <c r="W692" s="1"/>
      <c r="X692" s="1"/>
      <c r="Y692" s="1"/>
    </row>
    <row r="693" spans="1:25" ht="15.75" customHeight="1" x14ac:dyDescent="0.35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1"/>
      <c r="V693" s="1"/>
      <c r="W693" s="1"/>
      <c r="X693" s="1"/>
      <c r="Y693" s="1"/>
    </row>
    <row r="694" spans="1:25" ht="15.75" customHeight="1" x14ac:dyDescent="0.35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1"/>
      <c r="V694" s="1"/>
      <c r="W694" s="1"/>
      <c r="X694" s="1"/>
      <c r="Y694" s="1"/>
    </row>
    <row r="695" spans="1:25" ht="15.75" customHeight="1" x14ac:dyDescent="0.3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1"/>
      <c r="V695" s="1"/>
      <c r="W695" s="1"/>
      <c r="X695" s="1"/>
      <c r="Y695" s="1"/>
    </row>
    <row r="696" spans="1:25" ht="15.75" customHeight="1" x14ac:dyDescent="0.35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1"/>
      <c r="V696" s="1"/>
      <c r="W696" s="1"/>
      <c r="X696" s="1"/>
      <c r="Y696" s="1"/>
    </row>
    <row r="697" spans="1:25" ht="15.75" customHeight="1" x14ac:dyDescent="0.35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1"/>
      <c r="V697" s="1"/>
      <c r="W697" s="1"/>
      <c r="X697" s="1"/>
      <c r="Y697" s="1"/>
    </row>
    <row r="698" spans="1:25" ht="15.75" customHeight="1" x14ac:dyDescent="0.35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1"/>
      <c r="V698" s="1"/>
      <c r="W698" s="1"/>
      <c r="X698" s="1"/>
      <c r="Y698" s="1"/>
    </row>
    <row r="699" spans="1:25" ht="15.75" customHeight="1" x14ac:dyDescent="0.35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1"/>
      <c r="V699" s="1"/>
      <c r="W699" s="1"/>
      <c r="X699" s="1"/>
      <c r="Y699" s="1"/>
    </row>
    <row r="700" spans="1:25" ht="15.75" customHeight="1" x14ac:dyDescent="0.35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1"/>
      <c r="V700" s="1"/>
      <c r="W700" s="1"/>
      <c r="X700" s="1"/>
      <c r="Y700" s="1"/>
    </row>
    <row r="701" spans="1:25" ht="15.75" customHeight="1" x14ac:dyDescent="0.35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1"/>
      <c r="V701" s="1"/>
      <c r="W701" s="1"/>
      <c r="X701" s="1"/>
      <c r="Y701" s="1"/>
    </row>
    <row r="702" spans="1:25" ht="15.75" customHeight="1" x14ac:dyDescent="0.35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1"/>
      <c r="V702" s="1"/>
      <c r="W702" s="1"/>
      <c r="X702" s="1"/>
      <c r="Y702" s="1"/>
    </row>
    <row r="703" spans="1:25" ht="15.75" customHeight="1" x14ac:dyDescent="0.35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1"/>
      <c r="V703" s="1"/>
      <c r="W703" s="1"/>
      <c r="X703" s="1"/>
      <c r="Y703" s="1"/>
    </row>
    <row r="704" spans="1:25" ht="15.75" customHeight="1" x14ac:dyDescent="0.35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1"/>
      <c r="V704" s="1"/>
      <c r="W704" s="1"/>
      <c r="X704" s="1"/>
      <c r="Y704" s="1"/>
    </row>
    <row r="705" spans="1:25" ht="15.75" customHeight="1" x14ac:dyDescent="0.3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1"/>
      <c r="V705" s="1"/>
      <c r="W705" s="1"/>
      <c r="X705" s="1"/>
      <c r="Y705" s="1"/>
    </row>
    <row r="706" spans="1:25" ht="15.75" customHeight="1" x14ac:dyDescent="0.35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1"/>
      <c r="V706" s="1"/>
      <c r="W706" s="1"/>
      <c r="X706" s="1"/>
      <c r="Y706" s="1"/>
    </row>
    <row r="707" spans="1:25" ht="15.75" customHeight="1" x14ac:dyDescent="0.35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1"/>
      <c r="V707" s="1"/>
      <c r="W707" s="1"/>
      <c r="X707" s="1"/>
      <c r="Y707" s="1"/>
    </row>
    <row r="708" spans="1:25" ht="15.75" customHeight="1" x14ac:dyDescent="0.35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1"/>
      <c r="V708" s="1"/>
      <c r="W708" s="1"/>
      <c r="X708" s="1"/>
      <c r="Y708" s="1"/>
    </row>
    <row r="709" spans="1:25" ht="15.75" customHeight="1" x14ac:dyDescent="0.35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1"/>
      <c r="V709" s="1"/>
      <c r="W709" s="1"/>
      <c r="X709" s="1"/>
      <c r="Y709" s="1"/>
    </row>
    <row r="710" spans="1:25" ht="15.75" customHeight="1" x14ac:dyDescent="0.35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1"/>
      <c r="V710" s="1"/>
      <c r="W710" s="1"/>
      <c r="X710" s="1"/>
      <c r="Y710" s="1"/>
    </row>
    <row r="711" spans="1:25" ht="15.75" customHeight="1" x14ac:dyDescent="0.35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1"/>
      <c r="V711" s="1"/>
      <c r="W711" s="1"/>
      <c r="X711" s="1"/>
      <c r="Y711" s="1"/>
    </row>
    <row r="712" spans="1:25" ht="15.75" customHeight="1" x14ac:dyDescent="0.35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1"/>
      <c r="V712" s="1"/>
      <c r="W712" s="1"/>
      <c r="X712" s="1"/>
      <c r="Y712" s="1"/>
    </row>
    <row r="713" spans="1:25" ht="15.75" customHeight="1" x14ac:dyDescent="0.35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1"/>
      <c r="V713" s="1"/>
      <c r="W713" s="1"/>
      <c r="X713" s="1"/>
      <c r="Y713" s="1"/>
    </row>
    <row r="714" spans="1:25" ht="15.75" customHeight="1" x14ac:dyDescent="0.35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1"/>
      <c r="V714" s="1"/>
      <c r="W714" s="1"/>
      <c r="X714" s="1"/>
      <c r="Y714" s="1"/>
    </row>
    <row r="715" spans="1:25" ht="15.75" customHeight="1" x14ac:dyDescent="0.3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1"/>
      <c r="V715" s="1"/>
      <c r="W715" s="1"/>
      <c r="X715" s="1"/>
      <c r="Y715" s="1"/>
    </row>
    <row r="716" spans="1:25" ht="15.75" customHeight="1" x14ac:dyDescent="0.35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1"/>
      <c r="V716" s="1"/>
      <c r="W716" s="1"/>
      <c r="X716" s="1"/>
      <c r="Y716" s="1"/>
    </row>
    <row r="717" spans="1:25" ht="15.75" customHeight="1" x14ac:dyDescent="0.35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1"/>
      <c r="V717" s="1"/>
      <c r="W717" s="1"/>
      <c r="X717" s="1"/>
      <c r="Y717" s="1"/>
    </row>
    <row r="718" spans="1:25" ht="15.75" customHeight="1" x14ac:dyDescent="0.35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1"/>
      <c r="V718" s="1"/>
      <c r="W718" s="1"/>
      <c r="X718" s="1"/>
      <c r="Y718" s="1"/>
    </row>
    <row r="719" spans="1:25" ht="15.75" customHeight="1" x14ac:dyDescent="0.35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1"/>
      <c r="V719" s="1"/>
      <c r="W719" s="1"/>
      <c r="X719" s="1"/>
      <c r="Y719" s="1"/>
    </row>
    <row r="720" spans="1:25" ht="15.75" customHeight="1" x14ac:dyDescent="0.35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1"/>
      <c r="V720" s="1"/>
      <c r="W720" s="1"/>
      <c r="X720" s="1"/>
      <c r="Y720" s="1"/>
    </row>
    <row r="721" spans="1:25" ht="15.75" customHeight="1" x14ac:dyDescent="0.35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1"/>
      <c r="V721" s="1"/>
      <c r="W721" s="1"/>
      <c r="X721" s="1"/>
      <c r="Y721" s="1"/>
    </row>
    <row r="722" spans="1:25" ht="15.75" customHeight="1" x14ac:dyDescent="0.35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1"/>
      <c r="V722" s="1"/>
      <c r="W722" s="1"/>
      <c r="X722" s="1"/>
      <c r="Y722" s="1"/>
    </row>
    <row r="723" spans="1:25" ht="15.75" customHeight="1" x14ac:dyDescent="0.35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1"/>
      <c r="V723" s="1"/>
      <c r="W723" s="1"/>
      <c r="X723" s="1"/>
      <c r="Y723" s="1"/>
    </row>
    <row r="724" spans="1:25" ht="15.75" customHeight="1" x14ac:dyDescent="0.35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1"/>
      <c r="V724" s="1"/>
      <c r="W724" s="1"/>
      <c r="X724" s="1"/>
      <c r="Y724" s="1"/>
    </row>
    <row r="725" spans="1:25" ht="15.75" customHeight="1" x14ac:dyDescent="0.3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1"/>
      <c r="V725" s="1"/>
      <c r="W725" s="1"/>
      <c r="X725" s="1"/>
      <c r="Y725" s="1"/>
    </row>
    <row r="726" spans="1:25" ht="15.75" customHeight="1" x14ac:dyDescent="0.35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1"/>
      <c r="V726" s="1"/>
      <c r="W726" s="1"/>
      <c r="X726" s="1"/>
      <c r="Y726" s="1"/>
    </row>
    <row r="727" spans="1:25" ht="15.75" customHeight="1" x14ac:dyDescent="0.35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1"/>
      <c r="V727" s="1"/>
      <c r="W727" s="1"/>
      <c r="X727" s="1"/>
      <c r="Y727" s="1"/>
    </row>
    <row r="728" spans="1:25" ht="15.75" customHeight="1" x14ac:dyDescent="0.35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1"/>
      <c r="V728" s="1"/>
      <c r="W728" s="1"/>
      <c r="X728" s="1"/>
      <c r="Y728" s="1"/>
    </row>
    <row r="729" spans="1:25" ht="15.75" customHeight="1" x14ac:dyDescent="0.35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1"/>
      <c r="V729" s="1"/>
      <c r="W729" s="1"/>
      <c r="X729" s="1"/>
      <c r="Y729" s="1"/>
    </row>
    <row r="730" spans="1:25" ht="15.75" customHeight="1" x14ac:dyDescent="0.35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1"/>
      <c r="V730" s="1"/>
      <c r="W730" s="1"/>
      <c r="X730" s="1"/>
      <c r="Y730" s="1"/>
    </row>
    <row r="731" spans="1:25" ht="15.75" customHeight="1" x14ac:dyDescent="0.35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1"/>
      <c r="V731" s="1"/>
      <c r="W731" s="1"/>
      <c r="X731" s="1"/>
      <c r="Y731" s="1"/>
    </row>
    <row r="732" spans="1:25" ht="15.75" customHeight="1" x14ac:dyDescent="0.35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1"/>
      <c r="V732" s="1"/>
      <c r="W732" s="1"/>
      <c r="X732" s="1"/>
      <c r="Y732" s="1"/>
    </row>
    <row r="733" spans="1:25" ht="15.75" customHeight="1" x14ac:dyDescent="0.35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1"/>
      <c r="V733" s="1"/>
      <c r="W733" s="1"/>
      <c r="X733" s="1"/>
      <c r="Y733" s="1"/>
    </row>
    <row r="734" spans="1:25" ht="15.75" customHeight="1" x14ac:dyDescent="0.35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1"/>
      <c r="V734" s="1"/>
      <c r="W734" s="1"/>
      <c r="X734" s="1"/>
      <c r="Y734" s="1"/>
    </row>
    <row r="735" spans="1:25" ht="15.75" customHeight="1" x14ac:dyDescent="0.3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1"/>
      <c r="V735" s="1"/>
      <c r="W735" s="1"/>
      <c r="X735" s="1"/>
      <c r="Y735" s="1"/>
    </row>
    <row r="736" spans="1:25" ht="15.75" customHeight="1" x14ac:dyDescent="0.35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1"/>
      <c r="V736" s="1"/>
      <c r="W736" s="1"/>
      <c r="X736" s="1"/>
      <c r="Y736" s="1"/>
    </row>
    <row r="737" spans="1:25" ht="15.75" customHeight="1" x14ac:dyDescent="0.35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1"/>
      <c r="V737" s="1"/>
      <c r="W737" s="1"/>
      <c r="X737" s="1"/>
      <c r="Y737" s="1"/>
    </row>
    <row r="738" spans="1:25" ht="15.75" customHeight="1" x14ac:dyDescent="0.35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1"/>
      <c r="V738" s="1"/>
      <c r="W738" s="1"/>
      <c r="X738" s="1"/>
      <c r="Y738" s="1"/>
    </row>
    <row r="739" spans="1:25" ht="15.75" customHeight="1" x14ac:dyDescent="0.35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1"/>
      <c r="V739" s="1"/>
      <c r="W739" s="1"/>
      <c r="X739" s="1"/>
      <c r="Y739" s="1"/>
    </row>
    <row r="740" spans="1:25" ht="15.75" customHeight="1" x14ac:dyDescent="0.35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1"/>
      <c r="V740" s="1"/>
      <c r="W740" s="1"/>
      <c r="X740" s="1"/>
      <c r="Y740" s="1"/>
    </row>
    <row r="741" spans="1:25" ht="15.75" customHeight="1" x14ac:dyDescent="0.35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1"/>
      <c r="V741" s="1"/>
      <c r="W741" s="1"/>
      <c r="X741" s="1"/>
      <c r="Y741" s="1"/>
    </row>
    <row r="742" spans="1:25" ht="15.75" customHeight="1" x14ac:dyDescent="0.35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1"/>
      <c r="V742" s="1"/>
      <c r="W742" s="1"/>
      <c r="X742" s="1"/>
      <c r="Y742" s="1"/>
    </row>
    <row r="743" spans="1:25" ht="15.75" customHeight="1" x14ac:dyDescent="0.35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1"/>
      <c r="V743" s="1"/>
      <c r="W743" s="1"/>
      <c r="X743" s="1"/>
      <c r="Y743" s="1"/>
    </row>
    <row r="744" spans="1:25" ht="15.75" customHeight="1" x14ac:dyDescent="0.35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1"/>
      <c r="V744" s="1"/>
      <c r="W744" s="1"/>
      <c r="X744" s="1"/>
      <c r="Y744" s="1"/>
    </row>
    <row r="745" spans="1:25" ht="15.75" customHeight="1" x14ac:dyDescent="0.3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1"/>
      <c r="V745" s="1"/>
      <c r="W745" s="1"/>
      <c r="X745" s="1"/>
      <c r="Y745" s="1"/>
    </row>
    <row r="746" spans="1:25" ht="15.75" customHeight="1" x14ac:dyDescent="0.35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1"/>
      <c r="V746" s="1"/>
      <c r="W746" s="1"/>
      <c r="X746" s="1"/>
      <c r="Y746" s="1"/>
    </row>
    <row r="747" spans="1:25" ht="15.75" customHeight="1" x14ac:dyDescent="0.35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1"/>
      <c r="V747" s="1"/>
      <c r="W747" s="1"/>
      <c r="X747" s="1"/>
      <c r="Y747" s="1"/>
    </row>
    <row r="748" spans="1:25" ht="15.75" customHeight="1" x14ac:dyDescent="0.35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1"/>
      <c r="V748" s="1"/>
      <c r="W748" s="1"/>
      <c r="X748" s="1"/>
      <c r="Y748" s="1"/>
    </row>
    <row r="749" spans="1:25" ht="15.75" customHeight="1" x14ac:dyDescent="0.35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1"/>
      <c r="V749" s="1"/>
      <c r="W749" s="1"/>
      <c r="X749" s="1"/>
      <c r="Y749" s="1"/>
    </row>
    <row r="750" spans="1:25" ht="15.75" customHeight="1" x14ac:dyDescent="0.35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1"/>
      <c r="V750" s="1"/>
      <c r="W750" s="1"/>
      <c r="X750" s="1"/>
      <c r="Y750" s="1"/>
    </row>
    <row r="751" spans="1:25" ht="15.75" customHeight="1" x14ac:dyDescent="0.35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1"/>
      <c r="V751" s="1"/>
      <c r="W751" s="1"/>
      <c r="X751" s="1"/>
      <c r="Y751" s="1"/>
    </row>
    <row r="752" spans="1:25" ht="15.75" customHeight="1" x14ac:dyDescent="0.35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1"/>
      <c r="V752" s="1"/>
      <c r="W752" s="1"/>
      <c r="X752" s="1"/>
      <c r="Y752" s="1"/>
    </row>
    <row r="753" spans="1:25" ht="15.75" customHeight="1" x14ac:dyDescent="0.35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1"/>
      <c r="V753" s="1"/>
      <c r="W753" s="1"/>
      <c r="X753" s="1"/>
      <c r="Y753" s="1"/>
    </row>
    <row r="754" spans="1:25" ht="15.75" customHeight="1" x14ac:dyDescent="0.35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1"/>
      <c r="V754" s="1"/>
      <c r="W754" s="1"/>
      <c r="X754" s="1"/>
      <c r="Y754" s="1"/>
    </row>
    <row r="755" spans="1:25" ht="15.75" customHeight="1" x14ac:dyDescent="0.3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1"/>
      <c r="V755" s="1"/>
      <c r="W755" s="1"/>
      <c r="X755" s="1"/>
      <c r="Y755" s="1"/>
    </row>
    <row r="756" spans="1:25" ht="15.75" customHeight="1" x14ac:dyDescent="0.35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1"/>
      <c r="V756" s="1"/>
      <c r="W756" s="1"/>
      <c r="X756" s="1"/>
      <c r="Y756" s="1"/>
    </row>
    <row r="757" spans="1:25" ht="15.75" customHeight="1" x14ac:dyDescent="0.35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1"/>
      <c r="V757" s="1"/>
      <c r="W757" s="1"/>
      <c r="X757" s="1"/>
      <c r="Y757" s="1"/>
    </row>
    <row r="758" spans="1:25" ht="15.75" customHeight="1" x14ac:dyDescent="0.35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1"/>
      <c r="V758" s="1"/>
      <c r="W758" s="1"/>
      <c r="X758" s="1"/>
      <c r="Y758" s="1"/>
    </row>
    <row r="759" spans="1:25" ht="15.75" customHeight="1" x14ac:dyDescent="0.35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1"/>
      <c r="V759" s="1"/>
      <c r="W759" s="1"/>
      <c r="X759" s="1"/>
      <c r="Y759" s="1"/>
    </row>
    <row r="760" spans="1:25" ht="15.75" customHeight="1" x14ac:dyDescent="0.35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1"/>
      <c r="V760" s="1"/>
      <c r="W760" s="1"/>
      <c r="X760" s="1"/>
      <c r="Y760" s="1"/>
    </row>
    <row r="761" spans="1:25" ht="15.75" customHeight="1" x14ac:dyDescent="0.35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1"/>
      <c r="V761" s="1"/>
      <c r="W761" s="1"/>
      <c r="X761" s="1"/>
      <c r="Y761" s="1"/>
    </row>
    <row r="762" spans="1:25" ht="15.75" customHeight="1" x14ac:dyDescent="0.35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1"/>
      <c r="V762" s="1"/>
      <c r="W762" s="1"/>
      <c r="X762" s="1"/>
      <c r="Y762" s="1"/>
    </row>
    <row r="763" spans="1:25" ht="15.75" customHeight="1" x14ac:dyDescent="0.35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1"/>
      <c r="V763" s="1"/>
      <c r="W763" s="1"/>
      <c r="X763" s="1"/>
      <c r="Y763" s="1"/>
    </row>
    <row r="764" spans="1:25" ht="15.75" customHeight="1" x14ac:dyDescent="0.35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1"/>
      <c r="V764" s="1"/>
      <c r="W764" s="1"/>
      <c r="X764" s="1"/>
      <c r="Y764" s="1"/>
    </row>
    <row r="765" spans="1:25" ht="15.75" customHeight="1" x14ac:dyDescent="0.3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1"/>
      <c r="V765" s="1"/>
      <c r="W765" s="1"/>
      <c r="X765" s="1"/>
      <c r="Y765" s="1"/>
    </row>
    <row r="766" spans="1:25" ht="15.75" customHeight="1" x14ac:dyDescent="0.35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1"/>
      <c r="V766" s="1"/>
      <c r="W766" s="1"/>
      <c r="X766" s="1"/>
      <c r="Y766" s="1"/>
    </row>
    <row r="767" spans="1:25" ht="15.75" customHeight="1" x14ac:dyDescent="0.35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1"/>
      <c r="V767" s="1"/>
      <c r="W767" s="1"/>
      <c r="X767" s="1"/>
      <c r="Y767" s="1"/>
    </row>
    <row r="768" spans="1:25" ht="15.75" customHeight="1" x14ac:dyDescent="0.35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1"/>
      <c r="V768" s="1"/>
      <c r="W768" s="1"/>
      <c r="X768" s="1"/>
      <c r="Y768" s="1"/>
    </row>
    <row r="769" spans="1:25" ht="15.75" customHeight="1" x14ac:dyDescent="0.35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1"/>
      <c r="V769" s="1"/>
      <c r="W769" s="1"/>
      <c r="X769" s="1"/>
      <c r="Y769" s="1"/>
    </row>
    <row r="770" spans="1:25" ht="15.75" customHeight="1" x14ac:dyDescent="0.35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1"/>
      <c r="V770" s="1"/>
      <c r="W770" s="1"/>
      <c r="X770" s="1"/>
      <c r="Y770" s="1"/>
    </row>
    <row r="771" spans="1:25" ht="15.75" customHeight="1" x14ac:dyDescent="0.35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1"/>
      <c r="V771" s="1"/>
      <c r="W771" s="1"/>
      <c r="X771" s="1"/>
      <c r="Y771" s="1"/>
    </row>
    <row r="772" spans="1:25" ht="15.75" customHeight="1" x14ac:dyDescent="0.35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1"/>
      <c r="V772" s="1"/>
      <c r="W772" s="1"/>
      <c r="X772" s="1"/>
      <c r="Y772" s="1"/>
    </row>
    <row r="773" spans="1:25" ht="15.75" customHeight="1" x14ac:dyDescent="0.35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1"/>
      <c r="V773" s="1"/>
      <c r="W773" s="1"/>
      <c r="X773" s="1"/>
      <c r="Y773" s="1"/>
    </row>
    <row r="774" spans="1:25" ht="15.75" customHeight="1" x14ac:dyDescent="0.35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1"/>
      <c r="V774" s="1"/>
      <c r="W774" s="1"/>
      <c r="X774" s="1"/>
      <c r="Y774" s="1"/>
    </row>
    <row r="775" spans="1:25" ht="15.75" customHeight="1" x14ac:dyDescent="0.3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1"/>
      <c r="V775" s="1"/>
      <c r="W775" s="1"/>
      <c r="X775" s="1"/>
      <c r="Y775" s="1"/>
    </row>
    <row r="776" spans="1:25" ht="15.75" customHeight="1" x14ac:dyDescent="0.35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1"/>
      <c r="V776" s="1"/>
      <c r="W776" s="1"/>
      <c r="X776" s="1"/>
      <c r="Y776" s="1"/>
    </row>
    <row r="777" spans="1:25" ht="15.75" customHeight="1" x14ac:dyDescent="0.35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1"/>
      <c r="V777" s="1"/>
      <c r="W777" s="1"/>
      <c r="X777" s="1"/>
      <c r="Y777" s="1"/>
    </row>
    <row r="778" spans="1:25" ht="15.75" customHeight="1" x14ac:dyDescent="0.35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1"/>
      <c r="V778" s="1"/>
      <c r="W778" s="1"/>
      <c r="X778" s="1"/>
      <c r="Y778" s="1"/>
    </row>
    <row r="779" spans="1:25" ht="15.75" customHeight="1" x14ac:dyDescent="0.35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1"/>
      <c r="V779" s="1"/>
      <c r="W779" s="1"/>
      <c r="X779" s="1"/>
      <c r="Y779" s="1"/>
    </row>
    <row r="780" spans="1:25" ht="15.75" customHeight="1" x14ac:dyDescent="0.35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1"/>
      <c r="V780" s="1"/>
      <c r="W780" s="1"/>
      <c r="X780" s="1"/>
      <c r="Y780" s="1"/>
    </row>
    <row r="781" spans="1:25" ht="15.75" customHeight="1" x14ac:dyDescent="0.35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1"/>
      <c r="V781" s="1"/>
      <c r="W781" s="1"/>
      <c r="X781" s="1"/>
      <c r="Y781" s="1"/>
    </row>
    <row r="782" spans="1:25" ht="15.75" customHeight="1" x14ac:dyDescent="0.35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1"/>
      <c r="V782" s="1"/>
      <c r="W782" s="1"/>
      <c r="X782" s="1"/>
      <c r="Y782" s="1"/>
    </row>
    <row r="783" spans="1:25" ht="15.75" customHeight="1" x14ac:dyDescent="0.35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1"/>
      <c r="V783" s="1"/>
      <c r="W783" s="1"/>
      <c r="X783" s="1"/>
      <c r="Y783" s="1"/>
    </row>
    <row r="784" spans="1:25" ht="15.75" customHeight="1" x14ac:dyDescent="0.35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1"/>
      <c r="V784" s="1"/>
      <c r="W784" s="1"/>
      <c r="X784" s="1"/>
      <c r="Y784" s="1"/>
    </row>
    <row r="785" spans="1:25" ht="15.75" customHeight="1" x14ac:dyDescent="0.3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1"/>
      <c r="V785" s="1"/>
      <c r="W785" s="1"/>
      <c r="X785" s="1"/>
      <c r="Y785" s="1"/>
    </row>
    <row r="786" spans="1:25" ht="15.75" customHeight="1" x14ac:dyDescent="0.35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1"/>
      <c r="V786" s="1"/>
      <c r="W786" s="1"/>
      <c r="X786" s="1"/>
      <c r="Y786" s="1"/>
    </row>
    <row r="787" spans="1:25" ht="15.75" customHeight="1" x14ac:dyDescent="0.35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1"/>
      <c r="V787" s="1"/>
      <c r="W787" s="1"/>
      <c r="X787" s="1"/>
      <c r="Y787" s="1"/>
    </row>
    <row r="788" spans="1:25" ht="15.75" customHeight="1" x14ac:dyDescent="0.35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1"/>
      <c r="V788" s="1"/>
      <c r="W788" s="1"/>
      <c r="X788" s="1"/>
      <c r="Y788" s="1"/>
    </row>
    <row r="789" spans="1:25" ht="15.75" customHeight="1" x14ac:dyDescent="0.35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1"/>
      <c r="V789" s="1"/>
      <c r="W789" s="1"/>
      <c r="X789" s="1"/>
      <c r="Y789" s="1"/>
    </row>
    <row r="790" spans="1:25" ht="15.75" customHeight="1" x14ac:dyDescent="0.35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1"/>
      <c r="V790" s="1"/>
      <c r="W790" s="1"/>
      <c r="X790" s="1"/>
      <c r="Y790" s="1"/>
    </row>
    <row r="791" spans="1:25" ht="15.75" customHeight="1" x14ac:dyDescent="0.35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1"/>
      <c r="V791" s="1"/>
      <c r="W791" s="1"/>
      <c r="X791" s="1"/>
      <c r="Y791" s="1"/>
    </row>
    <row r="792" spans="1:25" ht="15.75" customHeight="1" x14ac:dyDescent="0.35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1"/>
      <c r="V792" s="1"/>
      <c r="W792" s="1"/>
      <c r="X792" s="1"/>
      <c r="Y792" s="1"/>
    </row>
    <row r="793" spans="1:25" ht="15.75" customHeight="1" x14ac:dyDescent="0.35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1"/>
      <c r="V793" s="1"/>
      <c r="W793" s="1"/>
      <c r="X793" s="1"/>
      <c r="Y793" s="1"/>
    </row>
    <row r="794" spans="1:25" ht="15.75" customHeight="1" x14ac:dyDescent="0.35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1"/>
      <c r="V794" s="1"/>
      <c r="W794" s="1"/>
      <c r="X794" s="1"/>
      <c r="Y794" s="1"/>
    </row>
    <row r="795" spans="1:25" ht="15.75" customHeight="1" x14ac:dyDescent="0.3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1"/>
      <c r="V795" s="1"/>
      <c r="W795" s="1"/>
      <c r="X795" s="1"/>
      <c r="Y795" s="1"/>
    </row>
    <row r="796" spans="1:25" ht="15.75" customHeight="1" x14ac:dyDescent="0.35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1"/>
      <c r="V796" s="1"/>
      <c r="W796" s="1"/>
      <c r="X796" s="1"/>
      <c r="Y796" s="1"/>
    </row>
    <row r="797" spans="1:25" ht="15.75" customHeight="1" x14ac:dyDescent="0.35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1"/>
      <c r="V797" s="1"/>
      <c r="W797" s="1"/>
      <c r="X797" s="1"/>
      <c r="Y797" s="1"/>
    </row>
    <row r="798" spans="1:25" ht="15.75" customHeight="1" x14ac:dyDescent="0.35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1"/>
      <c r="V798" s="1"/>
      <c r="W798" s="1"/>
      <c r="X798" s="1"/>
      <c r="Y798" s="1"/>
    </row>
    <row r="799" spans="1:25" ht="15.75" customHeight="1" x14ac:dyDescent="0.35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1"/>
      <c r="V799" s="1"/>
      <c r="W799" s="1"/>
      <c r="X799" s="1"/>
      <c r="Y799" s="1"/>
    </row>
    <row r="800" spans="1:25" ht="15.75" customHeight="1" x14ac:dyDescent="0.35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1"/>
      <c r="V800" s="1"/>
      <c r="W800" s="1"/>
      <c r="X800" s="1"/>
      <c r="Y800" s="1"/>
    </row>
    <row r="801" spans="1:25" ht="15.75" customHeight="1" x14ac:dyDescent="0.35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1"/>
      <c r="V801" s="1"/>
      <c r="W801" s="1"/>
      <c r="X801" s="1"/>
      <c r="Y801" s="1"/>
    </row>
    <row r="802" spans="1:25" ht="15.75" customHeight="1" x14ac:dyDescent="0.35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1"/>
      <c r="V802" s="1"/>
      <c r="W802" s="1"/>
      <c r="X802" s="1"/>
      <c r="Y802" s="1"/>
    </row>
    <row r="803" spans="1:25" ht="15.75" customHeight="1" x14ac:dyDescent="0.35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1"/>
      <c r="V803" s="1"/>
      <c r="W803" s="1"/>
      <c r="X803" s="1"/>
      <c r="Y803" s="1"/>
    </row>
    <row r="804" spans="1:25" ht="15.75" customHeight="1" x14ac:dyDescent="0.35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1"/>
      <c r="V804" s="1"/>
      <c r="W804" s="1"/>
      <c r="X804" s="1"/>
      <c r="Y804" s="1"/>
    </row>
    <row r="805" spans="1:25" ht="15.75" customHeight="1" x14ac:dyDescent="0.3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1"/>
      <c r="V805" s="1"/>
      <c r="W805" s="1"/>
      <c r="X805" s="1"/>
      <c r="Y805" s="1"/>
    </row>
    <row r="806" spans="1:25" ht="15.75" customHeight="1" x14ac:dyDescent="0.35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1"/>
      <c r="V806" s="1"/>
      <c r="W806" s="1"/>
      <c r="X806" s="1"/>
      <c r="Y806" s="1"/>
    </row>
    <row r="807" spans="1:25" ht="15.75" customHeight="1" x14ac:dyDescent="0.35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1"/>
      <c r="V807" s="1"/>
      <c r="W807" s="1"/>
      <c r="X807" s="1"/>
      <c r="Y807" s="1"/>
    </row>
    <row r="808" spans="1:25" ht="15.75" customHeight="1" x14ac:dyDescent="0.35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1"/>
      <c r="V808" s="1"/>
      <c r="W808" s="1"/>
      <c r="X808" s="1"/>
      <c r="Y808" s="1"/>
    </row>
    <row r="809" spans="1:25" ht="15.75" customHeight="1" x14ac:dyDescent="0.35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1"/>
      <c r="V809" s="1"/>
      <c r="W809" s="1"/>
      <c r="X809" s="1"/>
      <c r="Y809" s="1"/>
    </row>
    <row r="810" spans="1:25" ht="15.75" customHeight="1" x14ac:dyDescent="0.35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1"/>
      <c r="V810" s="1"/>
      <c r="W810" s="1"/>
      <c r="X810" s="1"/>
      <c r="Y810" s="1"/>
    </row>
    <row r="811" spans="1:25" ht="15.75" customHeight="1" x14ac:dyDescent="0.35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1"/>
      <c r="V811" s="1"/>
      <c r="W811" s="1"/>
      <c r="X811" s="1"/>
      <c r="Y811" s="1"/>
    </row>
    <row r="812" spans="1:25" ht="15.75" customHeight="1" x14ac:dyDescent="0.35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1"/>
      <c r="V812" s="1"/>
      <c r="W812" s="1"/>
      <c r="X812" s="1"/>
      <c r="Y812" s="1"/>
    </row>
    <row r="813" spans="1:25" ht="15.75" customHeight="1" x14ac:dyDescent="0.35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1"/>
      <c r="V813" s="1"/>
      <c r="W813" s="1"/>
      <c r="X813" s="1"/>
      <c r="Y813" s="1"/>
    </row>
    <row r="814" spans="1:25" ht="15.75" customHeight="1" x14ac:dyDescent="0.35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1"/>
      <c r="V814" s="1"/>
      <c r="W814" s="1"/>
      <c r="X814" s="1"/>
      <c r="Y814" s="1"/>
    </row>
    <row r="815" spans="1:25" ht="15.75" customHeight="1" x14ac:dyDescent="0.3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1"/>
      <c r="V815" s="1"/>
      <c r="W815" s="1"/>
      <c r="X815" s="1"/>
      <c r="Y815" s="1"/>
    </row>
    <row r="816" spans="1:25" ht="15.75" customHeight="1" x14ac:dyDescent="0.35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1"/>
      <c r="V816" s="1"/>
      <c r="W816" s="1"/>
      <c r="X816" s="1"/>
      <c r="Y816" s="1"/>
    </row>
    <row r="817" spans="1:25" ht="15.75" customHeight="1" x14ac:dyDescent="0.35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1"/>
      <c r="V817" s="1"/>
      <c r="W817" s="1"/>
      <c r="X817" s="1"/>
      <c r="Y817" s="1"/>
    </row>
    <row r="818" spans="1:25" ht="15.75" customHeight="1" x14ac:dyDescent="0.35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1"/>
      <c r="V818" s="1"/>
      <c r="W818" s="1"/>
      <c r="X818" s="1"/>
      <c r="Y818" s="1"/>
    </row>
    <row r="819" spans="1:25" ht="15.75" customHeight="1" x14ac:dyDescent="0.35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1"/>
      <c r="V819" s="1"/>
      <c r="W819" s="1"/>
      <c r="X819" s="1"/>
      <c r="Y819" s="1"/>
    </row>
    <row r="820" spans="1:25" ht="15.75" customHeight="1" x14ac:dyDescent="0.35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1"/>
      <c r="V820" s="1"/>
      <c r="W820" s="1"/>
      <c r="X820" s="1"/>
      <c r="Y820" s="1"/>
    </row>
    <row r="821" spans="1:25" ht="15.75" customHeight="1" x14ac:dyDescent="0.35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1"/>
      <c r="V821" s="1"/>
      <c r="W821" s="1"/>
      <c r="X821" s="1"/>
      <c r="Y821" s="1"/>
    </row>
    <row r="822" spans="1:25" ht="15.75" customHeight="1" x14ac:dyDescent="0.35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1"/>
      <c r="V822" s="1"/>
      <c r="W822" s="1"/>
      <c r="X822" s="1"/>
      <c r="Y822" s="1"/>
    </row>
    <row r="823" spans="1:25" ht="15.75" customHeight="1" x14ac:dyDescent="0.35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1"/>
      <c r="V823" s="1"/>
      <c r="W823" s="1"/>
      <c r="X823" s="1"/>
      <c r="Y823" s="1"/>
    </row>
    <row r="824" spans="1:25" ht="15.75" customHeight="1" x14ac:dyDescent="0.35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1"/>
      <c r="V824" s="1"/>
      <c r="W824" s="1"/>
      <c r="X824" s="1"/>
      <c r="Y824" s="1"/>
    </row>
    <row r="825" spans="1:25" ht="15.75" customHeight="1" x14ac:dyDescent="0.3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1"/>
      <c r="V825" s="1"/>
      <c r="W825" s="1"/>
      <c r="X825" s="1"/>
      <c r="Y825" s="1"/>
    </row>
    <row r="826" spans="1:25" ht="15.75" customHeight="1" x14ac:dyDescent="0.35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1"/>
      <c r="V826" s="1"/>
      <c r="W826" s="1"/>
      <c r="X826" s="1"/>
      <c r="Y826" s="1"/>
    </row>
    <row r="827" spans="1:25" ht="15.75" customHeight="1" x14ac:dyDescent="0.35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1"/>
      <c r="V827" s="1"/>
      <c r="W827" s="1"/>
      <c r="X827" s="1"/>
      <c r="Y827" s="1"/>
    </row>
    <row r="828" spans="1:25" ht="15.75" customHeight="1" x14ac:dyDescent="0.35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1"/>
      <c r="V828" s="1"/>
      <c r="W828" s="1"/>
      <c r="X828" s="1"/>
      <c r="Y828" s="1"/>
    </row>
    <row r="829" spans="1:25" ht="15.75" customHeight="1" x14ac:dyDescent="0.35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1"/>
      <c r="V829" s="1"/>
      <c r="W829" s="1"/>
      <c r="X829" s="1"/>
      <c r="Y829" s="1"/>
    </row>
    <row r="830" spans="1:25" ht="15.75" customHeight="1" x14ac:dyDescent="0.35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1"/>
      <c r="V830" s="1"/>
      <c r="W830" s="1"/>
      <c r="X830" s="1"/>
      <c r="Y830" s="1"/>
    </row>
    <row r="831" spans="1:25" ht="15.75" customHeight="1" x14ac:dyDescent="0.35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1"/>
      <c r="V831" s="1"/>
      <c r="W831" s="1"/>
      <c r="X831" s="1"/>
      <c r="Y831" s="1"/>
    </row>
    <row r="832" spans="1:25" ht="15.75" customHeight="1" x14ac:dyDescent="0.35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1"/>
      <c r="V832" s="1"/>
      <c r="W832" s="1"/>
      <c r="X832" s="1"/>
      <c r="Y832" s="1"/>
    </row>
    <row r="833" spans="1:25" ht="15.75" customHeight="1" x14ac:dyDescent="0.35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1"/>
      <c r="V833" s="1"/>
      <c r="W833" s="1"/>
      <c r="X833" s="1"/>
      <c r="Y833" s="1"/>
    </row>
    <row r="834" spans="1:25" ht="15.75" customHeight="1" x14ac:dyDescent="0.35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1"/>
      <c r="V834" s="1"/>
      <c r="W834" s="1"/>
      <c r="X834" s="1"/>
      <c r="Y834" s="1"/>
    </row>
    <row r="835" spans="1:25" ht="15.75" customHeight="1" x14ac:dyDescent="0.3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1"/>
      <c r="V835" s="1"/>
      <c r="W835" s="1"/>
      <c r="X835" s="1"/>
      <c r="Y835" s="1"/>
    </row>
    <row r="836" spans="1:25" ht="15.75" customHeight="1" x14ac:dyDescent="0.35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1"/>
      <c r="V836" s="1"/>
      <c r="W836" s="1"/>
      <c r="X836" s="1"/>
      <c r="Y836" s="1"/>
    </row>
    <row r="837" spans="1:25" ht="15.75" customHeight="1" x14ac:dyDescent="0.35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1"/>
      <c r="V837" s="1"/>
      <c r="W837" s="1"/>
      <c r="X837" s="1"/>
      <c r="Y837" s="1"/>
    </row>
    <row r="838" spans="1:25" ht="15.75" customHeight="1" x14ac:dyDescent="0.35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1"/>
      <c r="V838" s="1"/>
      <c r="W838" s="1"/>
      <c r="X838" s="1"/>
      <c r="Y838" s="1"/>
    </row>
    <row r="839" spans="1:25" ht="15.75" customHeight="1" x14ac:dyDescent="0.35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1"/>
      <c r="V839" s="1"/>
      <c r="W839" s="1"/>
      <c r="X839" s="1"/>
      <c r="Y839" s="1"/>
    </row>
    <row r="840" spans="1:25" ht="15.75" customHeight="1" x14ac:dyDescent="0.35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1"/>
      <c r="V840" s="1"/>
      <c r="W840" s="1"/>
      <c r="X840" s="1"/>
      <c r="Y840" s="1"/>
    </row>
    <row r="841" spans="1:25" ht="15.75" customHeight="1" x14ac:dyDescent="0.35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1"/>
      <c r="V841" s="1"/>
      <c r="W841" s="1"/>
      <c r="X841" s="1"/>
      <c r="Y841" s="1"/>
    </row>
    <row r="842" spans="1:25" ht="15.75" customHeight="1" x14ac:dyDescent="0.35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1"/>
      <c r="V842" s="1"/>
      <c r="W842" s="1"/>
      <c r="X842" s="1"/>
      <c r="Y842" s="1"/>
    </row>
    <row r="843" spans="1:25" ht="15.75" customHeight="1" x14ac:dyDescent="0.35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1"/>
      <c r="V843" s="1"/>
      <c r="W843" s="1"/>
      <c r="X843" s="1"/>
      <c r="Y843" s="1"/>
    </row>
    <row r="844" spans="1:25" ht="15.75" customHeight="1" x14ac:dyDescent="0.35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1"/>
      <c r="V844" s="1"/>
      <c r="W844" s="1"/>
      <c r="X844" s="1"/>
      <c r="Y844" s="1"/>
    </row>
    <row r="845" spans="1:25" ht="15.75" customHeight="1" x14ac:dyDescent="0.3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1"/>
      <c r="V845" s="1"/>
      <c r="W845" s="1"/>
      <c r="X845" s="1"/>
      <c r="Y845" s="1"/>
    </row>
    <row r="846" spans="1:25" ht="15.75" customHeight="1" x14ac:dyDescent="0.35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1"/>
      <c r="V846" s="1"/>
      <c r="W846" s="1"/>
      <c r="X846" s="1"/>
      <c r="Y846" s="1"/>
    </row>
    <row r="847" spans="1:25" ht="15.75" customHeight="1" x14ac:dyDescent="0.35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1"/>
      <c r="V847" s="1"/>
      <c r="W847" s="1"/>
      <c r="X847" s="1"/>
      <c r="Y847" s="1"/>
    </row>
    <row r="848" spans="1:25" ht="15.75" customHeight="1" x14ac:dyDescent="0.35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1"/>
      <c r="V848" s="1"/>
      <c r="W848" s="1"/>
      <c r="X848" s="1"/>
      <c r="Y848" s="1"/>
    </row>
    <row r="849" spans="1:25" ht="15.75" customHeight="1" x14ac:dyDescent="0.35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1"/>
      <c r="V849" s="1"/>
      <c r="W849" s="1"/>
      <c r="X849" s="1"/>
      <c r="Y849" s="1"/>
    </row>
    <row r="850" spans="1:25" ht="15.75" customHeight="1" x14ac:dyDescent="0.35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1"/>
      <c r="V850" s="1"/>
      <c r="W850" s="1"/>
      <c r="X850" s="1"/>
      <c r="Y850" s="1"/>
    </row>
    <row r="851" spans="1:25" ht="15.75" customHeight="1" x14ac:dyDescent="0.35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1"/>
      <c r="V851" s="1"/>
      <c r="W851" s="1"/>
      <c r="X851" s="1"/>
      <c r="Y851" s="1"/>
    </row>
    <row r="852" spans="1:25" ht="15.75" customHeight="1" x14ac:dyDescent="0.35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1"/>
      <c r="V852" s="1"/>
      <c r="W852" s="1"/>
      <c r="X852" s="1"/>
      <c r="Y852" s="1"/>
    </row>
    <row r="853" spans="1:25" ht="15.75" customHeight="1" x14ac:dyDescent="0.35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1"/>
      <c r="V853" s="1"/>
      <c r="W853" s="1"/>
      <c r="X853" s="1"/>
      <c r="Y853" s="1"/>
    </row>
    <row r="854" spans="1:25" ht="15.75" customHeight="1" x14ac:dyDescent="0.35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1"/>
      <c r="V854" s="1"/>
      <c r="W854" s="1"/>
      <c r="X854" s="1"/>
      <c r="Y854" s="1"/>
    </row>
    <row r="855" spans="1:25" ht="15.75" customHeight="1" x14ac:dyDescent="0.3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1"/>
      <c r="V855" s="1"/>
      <c r="W855" s="1"/>
      <c r="X855" s="1"/>
      <c r="Y855" s="1"/>
    </row>
    <row r="856" spans="1:25" ht="15.75" customHeight="1" x14ac:dyDescent="0.35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1"/>
      <c r="V856" s="1"/>
      <c r="W856" s="1"/>
      <c r="X856" s="1"/>
      <c r="Y856" s="1"/>
    </row>
    <row r="857" spans="1:25" ht="15.75" customHeight="1" x14ac:dyDescent="0.35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1"/>
      <c r="V857" s="1"/>
      <c r="W857" s="1"/>
      <c r="X857" s="1"/>
      <c r="Y857" s="1"/>
    </row>
    <row r="858" spans="1:25" ht="15.75" customHeight="1" x14ac:dyDescent="0.35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1"/>
      <c r="V858" s="1"/>
      <c r="W858" s="1"/>
      <c r="X858" s="1"/>
      <c r="Y858" s="1"/>
    </row>
    <row r="859" spans="1:25" ht="15.75" customHeight="1" x14ac:dyDescent="0.35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1"/>
      <c r="V859" s="1"/>
      <c r="W859" s="1"/>
      <c r="X859" s="1"/>
      <c r="Y859" s="1"/>
    </row>
    <row r="860" spans="1:25" ht="15.75" customHeight="1" x14ac:dyDescent="0.35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1"/>
      <c r="V860" s="1"/>
      <c r="W860" s="1"/>
      <c r="X860" s="1"/>
      <c r="Y860" s="1"/>
    </row>
    <row r="861" spans="1:25" ht="15.75" customHeight="1" x14ac:dyDescent="0.35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1"/>
      <c r="V861" s="1"/>
      <c r="W861" s="1"/>
      <c r="X861" s="1"/>
      <c r="Y861" s="1"/>
    </row>
    <row r="862" spans="1:25" ht="15.75" customHeight="1" x14ac:dyDescent="0.35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1"/>
      <c r="V862" s="1"/>
      <c r="W862" s="1"/>
      <c r="X862" s="1"/>
      <c r="Y862" s="1"/>
    </row>
    <row r="863" spans="1:25" ht="15.75" customHeight="1" x14ac:dyDescent="0.35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1"/>
      <c r="V863" s="1"/>
      <c r="W863" s="1"/>
      <c r="X863" s="1"/>
      <c r="Y863" s="1"/>
    </row>
    <row r="864" spans="1:25" ht="15.75" customHeight="1" x14ac:dyDescent="0.35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1"/>
      <c r="V864" s="1"/>
      <c r="W864" s="1"/>
      <c r="X864" s="1"/>
      <c r="Y864" s="1"/>
    </row>
    <row r="865" spans="1:25" ht="15.75" customHeight="1" x14ac:dyDescent="0.3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1"/>
      <c r="V865" s="1"/>
      <c r="W865" s="1"/>
      <c r="X865" s="1"/>
      <c r="Y865" s="1"/>
    </row>
    <row r="866" spans="1:25" ht="15.75" customHeight="1" x14ac:dyDescent="0.35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1"/>
      <c r="V866" s="1"/>
      <c r="W866" s="1"/>
      <c r="X866" s="1"/>
      <c r="Y866" s="1"/>
    </row>
    <row r="867" spans="1:25" ht="15.75" customHeight="1" x14ac:dyDescent="0.35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1"/>
      <c r="V867" s="1"/>
      <c r="W867" s="1"/>
      <c r="X867" s="1"/>
      <c r="Y867" s="1"/>
    </row>
    <row r="868" spans="1:25" ht="15.75" customHeight="1" x14ac:dyDescent="0.35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1"/>
      <c r="V868" s="1"/>
      <c r="W868" s="1"/>
      <c r="X868" s="1"/>
      <c r="Y868" s="1"/>
    </row>
    <row r="869" spans="1:25" ht="15.75" customHeight="1" x14ac:dyDescent="0.35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1"/>
      <c r="V869" s="1"/>
      <c r="W869" s="1"/>
      <c r="X869" s="1"/>
      <c r="Y869" s="1"/>
    </row>
    <row r="870" spans="1:25" ht="15.75" customHeight="1" x14ac:dyDescent="0.35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1"/>
      <c r="V870" s="1"/>
      <c r="W870" s="1"/>
      <c r="X870" s="1"/>
      <c r="Y870" s="1"/>
    </row>
    <row r="871" spans="1:25" ht="15.75" customHeight="1" x14ac:dyDescent="0.35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1"/>
      <c r="V871" s="1"/>
      <c r="W871" s="1"/>
      <c r="X871" s="1"/>
      <c r="Y871" s="1"/>
    </row>
    <row r="872" spans="1:25" ht="15.75" customHeight="1" x14ac:dyDescent="0.35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1"/>
      <c r="V872" s="1"/>
      <c r="W872" s="1"/>
      <c r="X872" s="1"/>
      <c r="Y872" s="1"/>
    </row>
    <row r="873" spans="1:25" ht="15.75" customHeight="1" x14ac:dyDescent="0.35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1"/>
      <c r="V873" s="1"/>
      <c r="W873" s="1"/>
      <c r="X873" s="1"/>
      <c r="Y873" s="1"/>
    </row>
    <row r="874" spans="1:25" ht="15.75" customHeight="1" x14ac:dyDescent="0.35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1"/>
      <c r="V874" s="1"/>
      <c r="W874" s="1"/>
      <c r="X874" s="1"/>
      <c r="Y874" s="1"/>
    </row>
    <row r="875" spans="1:25" ht="15.75" customHeight="1" x14ac:dyDescent="0.3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1"/>
      <c r="V875" s="1"/>
      <c r="W875" s="1"/>
      <c r="X875" s="1"/>
      <c r="Y875" s="1"/>
    </row>
    <row r="876" spans="1:25" ht="15.75" customHeight="1" x14ac:dyDescent="0.35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1"/>
      <c r="V876" s="1"/>
      <c r="W876" s="1"/>
      <c r="X876" s="1"/>
      <c r="Y876" s="1"/>
    </row>
    <row r="877" spans="1:25" ht="15.75" customHeight="1" x14ac:dyDescent="0.35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1"/>
      <c r="V877" s="1"/>
      <c r="W877" s="1"/>
      <c r="X877" s="1"/>
      <c r="Y877" s="1"/>
    </row>
    <row r="878" spans="1:25" ht="15.75" customHeight="1" x14ac:dyDescent="0.35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1"/>
      <c r="V878" s="1"/>
      <c r="W878" s="1"/>
      <c r="X878" s="1"/>
      <c r="Y878" s="1"/>
    </row>
    <row r="879" spans="1:25" ht="15.75" customHeight="1" x14ac:dyDescent="0.35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1"/>
      <c r="V879" s="1"/>
      <c r="W879" s="1"/>
      <c r="X879" s="1"/>
      <c r="Y879" s="1"/>
    </row>
    <row r="880" spans="1:25" ht="15.75" customHeight="1" x14ac:dyDescent="0.35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1"/>
      <c r="V880" s="1"/>
      <c r="W880" s="1"/>
      <c r="X880" s="1"/>
      <c r="Y880" s="1"/>
    </row>
    <row r="881" spans="1:25" ht="15.75" customHeight="1" x14ac:dyDescent="0.35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1"/>
      <c r="V881" s="1"/>
      <c r="W881" s="1"/>
      <c r="X881" s="1"/>
      <c r="Y881" s="1"/>
    </row>
    <row r="882" spans="1:25" ht="15.75" customHeight="1" x14ac:dyDescent="0.35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1"/>
      <c r="V882" s="1"/>
      <c r="W882" s="1"/>
      <c r="X882" s="1"/>
      <c r="Y882" s="1"/>
    </row>
    <row r="883" spans="1:25" ht="15.75" customHeight="1" x14ac:dyDescent="0.35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1"/>
      <c r="V883" s="1"/>
      <c r="W883" s="1"/>
      <c r="X883" s="1"/>
      <c r="Y883" s="1"/>
    </row>
    <row r="884" spans="1:25" ht="15.75" customHeight="1" x14ac:dyDescent="0.35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1"/>
      <c r="V884" s="1"/>
      <c r="W884" s="1"/>
      <c r="X884" s="1"/>
      <c r="Y884" s="1"/>
    </row>
    <row r="885" spans="1:25" ht="15.75" customHeight="1" x14ac:dyDescent="0.3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1"/>
      <c r="V885" s="1"/>
      <c r="W885" s="1"/>
      <c r="X885" s="1"/>
      <c r="Y885" s="1"/>
    </row>
    <row r="886" spans="1:25" ht="15.75" customHeight="1" x14ac:dyDescent="0.35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1"/>
      <c r="V886" s="1"/>
      <c r="W886" s="1"/>
      <c r="X886" s="1"/>
      <c r="Y886" s="1"/>
    </row>
    <row r="887" spans="1:25" ht="15.75" customHeight="1" x14ac:dyDescent="0.35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1"/>
      <c r="V887" s="1"/>
      <c r="W887" s="1"/>
      <c r="X887" s="1"/>
      <c r="Y887" s="1"/>
    </row>
    <row r="888" spans="1:25" ht="15.75" customHeight="1" x14ac:dyDescent="0.35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1"/>
      <c r="V888" s="1"/>
      <c r="W888" s="1"/>
      <c r="X888" s="1"/>
      <c r="Y888" s="1"/>
    </row>
    <row r="889" spans="1:25" ht="15.75" customHeight="1" x14ac:dyDescent="0.35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1"/>
      <c r="V889" s="1"/>
      <c r="W889" s="1"/>
      <c r="X889" s="1"/>
      <c r="Y889" s="1"/>
    </row>
    <row r="890" spans="1:25" ht="15.75" customHeight="1" x14ac:dyDescent="0.35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1"/>
      <c r="V890" s="1"/>
      <c r="W890" s="1"/>
      <c r="X890" s="1"/>
      <c r="Y890" s="1"/>
    </row>
    <row r="891" spans="1:25" ht="15.75" customHeight="1" x14ac:dyDescent="0.35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1"/>
      <c r="V891" s="1"/>
      <c r="W891" s="1"/>
      <c r="X891" s="1"/>
      <c r="Y891" s="1"/>
    </row>
    <row r="892" spans="1:25" ht="15.75" customHeight="1" x14ac:dyDescent="0.35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1"/>
      <c r="V892" s="1"/>
      <c r="W892" s="1"/>
      <c r="X892" s="1"/>
      <c r="Y892" s="1"/>
    </row>
    <row r="893" spans="1:25" ht="15.75" customHeight="1" x14ac:dyDescent="0.35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1"/>
      <c r="V893" s="1"/>
      <c r="W893" s="1"/>
      <c r="X893" s="1"/>
      <c r="Y893" s="1"/>
    </row>
    <row r="894" spans="1:25" ht="15.75" customHeight="1" x14ac:dyDescent="0.35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1"/>
      <c r="V894" s="1"/>
      <c r="W894" s="1"/>
      <c r="X894" s="1"/>
      <c r="Y894" s="1"/>
    </row>
    <row r="895" spans="1:25" ht="15.75" customHeight="1" x14ac:dyDescent="0.3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1"/>
      <c r="V895" s="1"/>
      <c r="W895" s="1"/>
      <c r="X895" s="1"/>
      <c r="Y895" s="1"/>
    </row>
    <row r="896" spans="1:25" ht="15.75" customHeight="1" x14ac:dyDescent="0.35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1"/>
      <c r="V896" s="1"/>
      <c r="W896" s="1"/>
      <c r="X896" s="1"/>
      <c r="Y896" s="1"/>
    </row>
    <row r="897" spans="1:25" ht="15.75" customHeight="1" x14ac:dyDescent="0.35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1"/>
      <c r="V897" s="1"/>
      <c r="W897" s="1"/>
      <c r="X897" s="1"/>
      <c r="Y897" s="1"/>
    </row>
    <row r="898" spans="1:25" ht="15.75" customHeight="1" x14ac:dyDescent="0.35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1"/>
      <c r="V898" s="1"/>
      <c r="W898" s="1"/>
      <c r="X898" s="1"/>
      <c r="Y898" s="1"/>
    </row>
    <row r="899" spans="1:25" ht="15.75" customHeight="1" x14ac:dyDescent="0.35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1"/>
      <c r="V899" s="1"/>
      <c r="W899" s="1"/>
      <c r="X899" s="1"/>
      <c r="Y899" s="1"/>
    </row>
    <row r="900" spans="1:25" ht="15.75" customHeight="1" x14ac:dyDescent="0.35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1"/>
      <c r="V900" s="1"/>
      <c r="W900" s="1"/>
      <c r="X900" s="1"/>
      <c r="Y900" s="1"/>
    </row>
    <row r="901" spans="1:25" ht="15.75" customHeight="1" x14ac:dyDescent="0.35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1"/>
      <c r="V901" s="1"/>
      <c r="W901" s="1"/>
      <c r="X901" s="1"/>
      <c r="Y901" s="1"/>
    </row>
    <row r="902" spans="1:25" ht="15.75" customHeight="1" x14ac:dyDescent="0.35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1"/>
      <c r="V902" s="1"/>
      <c r="W902" s="1"/>
      <c r="X902" s="1"/>
      <c r="Y902" s="1"/>
    </row>
    <row r="903" spans="1:25" ht="15.75" customHeight="1" x14ac:dyDescent="0.35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1"/>
      <c r="V903" s="1"/>
      <c r="W903" s="1"/>
      <c r="X903" s="1"/>
      <c r="Y903" s="1"/>
    </row>
    <row r="904" spans="1:25" ht="15.75" customHeight="1" x14ac:dyDescent="0.35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1"/>
      <c r="V904" s="1"/>
      <c r="W904" s="1"/>
      <c r="X904" s="1"/>
      <c r="Y904" s="1"/>
    </row>
    <row r="905" spans="1:25" ht="15.75" customHeight="1" x14ac:dyDescent="0.3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1"/>
      <c r="V905" s="1"/>
      <c r="W905" s="1"/>
      <c r="X905" s="1"/>
      <c r="Y905" s="1"/>
    </row>
    <row r="906" spans="1:25" ht="15.75" customHeight="1" x14ac:dyDescent="0.35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1"/>
      <c r="V906" s="1"/>
      <c r="W906" s="1"/>
      <c r="X906" s="1"/>
      <c r="Y906" s="1"/>
    </row>
    <row r="907" spans="1:25" ht="15.75" customHeight="1" x14ac:dyDescent="0.35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1"/>
      <c r="V907" s="1"/>
      <c r="W907" s="1"/>
      <c r="X907" s="1"/>
      <c r="Y907" s="1"/>
    </row>
    <row r="908" spans="1:25" ht="15.75" customHeight="1" x14ac:dyDescent="0.35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1"/>
      <c r="V908" s="1"/>
      <c r="W908" s="1"/>
      <c r="X908" s="1"/>
      <c r="Y908" s="1"/>
    </row>
    <row r="909" spans="1:25" ht="15.75" customHeight="1" x14ac:dyDescent="0.35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1"/>
      <c r="V909" s="1"/>
      <c r="W909" s="1"/>
      <c r="X909" s="1"/>
      <c r="Y909" s="1"/>
    </row>
    <row r="910" spans="1:25" ht="15.75" customHeight="1" x14ac:dyDescent="0.35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1"/>
      <c r="V910" s="1"/>
      <c r="W910" s="1"/>
      <c r="X910" s="1"/>
      <c r="Y910" s="1"/>
    </row>
    <row r="911" spans="1:25" ht="15.75" customHeight="1" x14ac:dyDescent="0.35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1"/>
      <c r="V911" s="1"/>
      <c r="W911" s="1"/>
      <c r="X911" s="1"/>
      <c r="Y911" s="1"/>
    </row>
    <row r="912" spans="1:25" ht="15.75" customHeight="1" x14ac:dyDescent="0.35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1"/>
      <c r="V912" s="1"/>
      <c r="W912" s="1"/>
      <c r="X912" s="1"/>
      <c r="Y912" s="1"/>
    </row>
    <row r="913" spans="1:25" ht="15.75" customHeight="1" x14ac:dyDescent="0.35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1"/>
      <c r="V913" s="1"/>
      <c r="W913" s="1"/>
      <c r="X913" s="1"/>
      <c r="Y913" s="1"/>
    </row>
    <row r="914" spans="1:25" ht="15.75" customHeight="1" x14ac:dyDescent="0.35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1"/>
      <c r="V914" s="1"/>
      <c r="W914" s="1"/>
      <c r="X914" s="1"/>
      <c r="Y914" s="1"/>
    </row>
    <row r="915" spans="1:25" ht="15.75" customHeight="1" x14ac:dyDescent="0.3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1"/>
      <c r="V915" s="1"/>
      <c r="W915" s="1"/>
      <c r="X915" s="1"/>
      <c r="Y915" s="1"/>
    </row>
    <row r="916" spans="1:25" ht="15.75" customHeight="1" x14ac:dyDescent="0.35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1"/>
      <c r="V916" s="1"/>
      <c r="W916" s="1"/>
      <c r="X916" s="1"/>
      <c r="Y916" s="1"/>
    </row>
    <row r="917" spans="1:25" ht="15.75" customHeight="1" x14ac:dyDescent="0.35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1"/>
      <c r="V917" s="1"/>
      <c r="W917" s="1"/>
      <c r="X917" s="1"/>
      <c r="Y917" s="1"/>
    </row>
    <row r="918" spans="1:25" ht="15.75" customHeight="1" x14ac:dyDescent="0.35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1"/>
      <c r="V918" s="1"/>
      <c r="W918" s="1"/>
      <c r="X918" s="1"/>
      <c r="Y918" s="1"/>
    </row>
    <row r="919" spans="1:25" ht="15.75" customHeight="1" x14ac:dyDescent="0.35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1"/>
      <c r="V919" s="1"/>
      <c r="W919" s="1"/>
      <c r="X919" s="1"/>
      <c r="Y919" s="1"/>
    </row>
    <row r="920" spans="1:25" ht="15.75" customHeight="1" x14ac:dyDescent="0.35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1"/>
      <c r="V920" s="1"/>
      <c r="W920" s="1"/>
      <c r="X920" s="1"/>
      <c r="Y920" s="1"/>
    </row>
    <row r="921" spans="1:25" ht="15.75" customHeight="1" x14ac:dyDescent="0.35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1"/>
      <c r="V921" s="1"/>
      <c r="W921" s="1"/>
      <c r="X921" s="1"/>
      <c r="Y921" s="1"/>
    </row>
    <row r="922" spans="1:25" ht="15.75" customHeight="1" x14ac:dyDescent="0.35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1"/>
      <c r="V922" s="1"/>
      <c r="W922" s="1"/>
      <c r="X922" s="1"/>
      <c r="Y922" s="1"/>
    </row>
    <row r="923" spans="1:25" ht="15.75" customHeight="1" x14ac:dyDescent="0.35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1"/>
      <c r="V923" s="1"/>
      <c r="W923" s="1"/>
      <c r="X923" s="1"/>
      <c r="Y923" s="1"/>
    </row>
    <row r="924" spans="1:25" ht="15.75" customHeight="1" x14ac:dyDescent="0.35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1"/>
      <c r="V924" s="1"/>
      <c r="W924" s="1"/>
      <c r="X924" s="1"/>
      <c r="Y924" s="1"/>
    </row>
    <row r="925" spans="1:25" ht="15.75" customHeight="1" x14ac:dyDescent="0.3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1"/>
      <c r="V925" s="1"/>
      <c r="W925" s="1"/>
      <c r="X925" s="1"/>
      <c r="Y925" s="1"/>
    </row>
    <row r="926" spans="1:25" ht="15.75" customHeight="1" x14ac:dyDescent="0.35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1"/>
      <c r="V926" s="1"/>
      <c r="W926" s="1"/>
      <c r="X926" s="1"/>
      <c r="Y926" s="1"/>
    </row>
    <row r="927" spans="1:25" ht="15.75" customHeight="1" x14ac:dyDescent="0.35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1"/>
      <c r="V927" s="1"/>
      <c r="W927" s="1"/>
      <c r="X927" s="1"/>
      <c r="Y927" s="1"/>
    </row>
    <row r="928" spans="1:25" ht="15.75" customHeight="1" x14ac:dyDescent="0.35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1"/>
      <c r="V928" s="1"/>
      <c r="W928" s="1"/>
      <c r="X928" s="1"/>
      <c r="Y928" s="1"/>
    </row>
    <row r="929" spans="1:25" ht="15.75" customHeight="1" x14ac:dyDescent="0.35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1"/>
      <c r="V929" s="1"/>
      <c r="W929" s="1"/>
      <c r="X929" s="1"/>
      <c r="Y929" s="1"/>
    </row>
    <row r="930" spans="1:25" ht="15.75" customHeight="1" x14ac:dyDescent="0.35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1"/>
      <c r="V930" s="1"/>
      <c r="W930" s="1"/>
      <c r="X930" s="1"/>
      <c r="Y930" s="1"/>
    </row>
    <row r="931" spans="1:25" ht="15.75" customHeight="1" x14ac:dyDescent="0.35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1"/>
      <c r="V931" s="1"/>
      <c r="W931" s="1"/>
      <c r="X931" s="1"/>
      <c r="Y931" s="1"/>
    </row>
    <row r="932" spans="1:25" ht="15.75" customHeight="1" x14ac:dyDescent="0.35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1"/>
      <c r="V932" s="1"/>
      <c r="W932" s="1"/>
      <c r="X932" s="1"/>
      <c r="Y932" s="1"/>
    </row>
    <row r="933" spans="1:25" ht="15.75" customHeight="1" x14ac:dyDescent="0.35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1"/>
      <c r="V933" s="1"/>
      <c r="W933" s="1"/>
      <c r="X933" s="1"/>
      <c r="Y933" s="1"/>
    </row>
    <row r="934" spans="1:25" ht="15.75" customHeight="1" x14ac:dyDescent="0.35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1"/>
      <c r="V934" s="1"/>
      <c r="W934" s="1"/>
      <c r="X934" s="1"/>
      <c r="Y934" s="1"/>
    </row>
    <row r="935" spans="1:25" ht="15.75" customHeight="1" x14ac:dyDescent="0.3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1"/>
      <c r="V935" s="1"/>
      <c r="W935" s="1"/>
      <c r="X935" s="1"/>
      <c r="Y935" s="1"/>
    </row>
    <row r="936" spans="1:25" ht="15.75" customHeight="1" x14ac:dyDescent="0.35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1"/>
      <c r="V936" s="1"/>
      <c r="W936" s="1"/>
      <c r="X936" s="1"/>
      <c r="Y936" s="1"/>
    </row>
    <row r="937" spans="1:25" ht="15.75" customHeight="1" x14ac:dyDescent="0.35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1"/>
      <c r="V937" s="1"/>
      <c r="W937" s="1"/>
      <c r="X937" s="1"/>
      <c r="Y937" s="1"/>
    </row>
    <row r="938" spans="1:25" ht="15.75" customHeight="1" x14ac:dyDescent="0.35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1"/>
      <c r="V938" s="1"/>
      <c r="W938" s="1"/>
      <c r="X938" s="1"/>
      <c r="Y938" s="1"/>
    </row>
    <row r="939" spans="1:25" ht="15.75" customHeight="1" x14ac:dyDescent="0.35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1"/>
      <c r="V939" s="1"/>
      <c r="W939" s="1"/>
      <c r="X939" s="1"/>
      <c r="Y939" s="1"/>
    </row>
    <row r="940" spans="1:25" ht="15.75" customHeight="1" x14ac:dyDescent="0.35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1"/>
      <c r="V940" s="1"/>
      <c r="W940" s="1"/>
      <c r="X940" s="1"/>
      <c r="Y940" s="1"/>
    </row>
    <row r="941" spans="1:25" ht="15.75" customHeight="1" x14ac:dyDescent="0.35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1"/>
      <c r="V941" s="1"/>
      <c r="W941" s="1"/>
      <c r="X941" s="1"/>
      <c r="Y941" s="1"/>
    </row>
    <row r="942" spans="1:25" ht="15.75" customHeight="1" x14ac:dyDescent="0.35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1"/>
      <c r="V942" s="1"/>
      <c r="W942" s="1"/>
      <c r="X942" s="1"/>
      <c r="Y942" s="1"/>
    </row>
    <row r="943" spans="1:25" ht="15.75" customHeight="1" x14ac:dyDescent="0.35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1"/>
      <c r="V943" s="1"/>
      <c r="W943" s="1"/>
      <c r="X943" s="1"/>
      <c r="Y943" s="1"/>
    </row>
    <row r="944" spans="1:25" ht="15.75" customHeight="1" x14ac:dyDescent="0.35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1"/>
      <c r="V944" s="1"/>
      <c r="W944" s="1"/>
      <c r="X944" s="1"/>
      <c r="Y944" s="1"/>
    </row>
    <row r="945" spans="1:25" ht="15.75" customHeight="1" x14ac:dyDescent="0.3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1"/>
      <c r="V945" s="1"/>
      <c r="W945" s="1"/>
      <c r="X945" s="1"/>
      <c r="Y945" s="1"/>
    </row>
    <row r="946" spans="1:25" ht="15.75" customHeight="1" x14ac:dyDescent="0.35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1"/>
      <c r="V946" s="1"/>
      <c r="W946" s="1"/>
      <c r="X946" s="1"/>
      <c r="Y946" s="1"/>
    </row>
    <row r="947" spans="1:25" ht="15.75" customHeight="1" x14ac:dyDescent="0.35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1"/>
      <c r="V947" s="1"/>
      <c r="W947" s="1"/>
      <c r="X947" s="1"/>
      <c r="Y947" s="1"/>
    </row>
    <row r="948" spans="1:25" ht="15.75" customHeight="1" x14ac:dyDescent="0.35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1"/>
      <c r="V948" s="1"/>
      <c r="W948" s="1"/>
      <c r="X948" s="1"/>
      <c r="Y948" s="1"/>
    </row>
    <row r="949" spans="1:25" ht="15.75" customHeight="1" x14ac:dyDescent="0.35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1"/>
      <c r="V949" s="1"/>
      <c r="W949" s="1"/>
      <c r="X949" s="1"/>
      <c r="Y949" s="1"/>
    </row>
    <row r="950" spans="1:25" ht="15.75" customHeight="1" x14ac:dyDescent="0.35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1"/>
      <c r="V950" s="1"/>
      <c r="W950" s="1"/>
      <c r="X950" s="1"/>
      <c r="Y950" s="1"/>
    </row>
    <row r="951" spans="1:25" ht="15.75" customHeight="1" x14ac:dyDescent="0.35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1"/>
      <c r="V951" s="1"/>
      <c r="W951" s="1"/>
      <c r="X951" s="1"/>
      <c r="Y951" s="1"/>
    </row>
    <row r="952" spans="1:25" ht="15.75" customHeight="1" x14ac:dyDescent="0.35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1"/>
      <c r="V952" s="1"/>
      <c r="W952" s="1"/>
      <c r="X952" s="1"/>
      <c r="Y952" s="1"/>
    </row>
    <row r="953" spans="1:25" ht="15.75" customHeight="1" x14ac:dyDescent="0.35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1"/>
      <c r="V953" s="1"/>
      <c r="W953" s="1"/>
      <c r="X953" s="1"/>
      <c r="Y953" s="1"/>
    </row>
    <row r="954" spans="1:25" ht="15.75" customHeight="1" x14ac:dyDescent="0.35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1"/>
      <c r="V954" s="1"/>
      <c r="W954" s="1"/>
      <c r="X954" s="1"/>
      <c r="Y954" s="1"/>
    </row>
    <row r="955" spans="1:25" ht="15.75" customHeight="1" x14ac:dyDescent="0.35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1"/>
      <c r="V955" s="1"/>
      <c r="W955" s="1"/>
      <c r="X955" s="1"/>
      <c r="Y955" s="1"/>
    </row>
    <row r="956" spans="1:25" ht="15.75" customHeight="1" x14ac:dyDescent="0.35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1"/>
      <c r="V956" s="1"/>
      <c r="W956" s="1"/>
      <c r="X956" s="1"/>
      <c r="Y956" s="1"/>
    </row>
    <row r="957" spans="1:25" ht="15.75" customHeight="1" x14ac:dyDescent="0.35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1"/>
      <c r="V957" s="1"/>
      <c r="W957" s="1"/>
      <c r="X957" s="1"/>
      <c r="Y957" s="1"/>
    </row>
    <row r="958" spans="1:25" ht="15.75" customHeight="1" x14ac:dyDescent="0.35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1"/>
      <c r="V958" s="1"/>
      <c r="W958" s="1"/>
      <c r="X958" s="1"/>
      <c r="Y958" s="1"/>
    </row>
    <row r="959" spans="1:25" ht="15.75" customHeight="1" x14ac:dyDescent="0.35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1"/>
      <c r="V959" s="1"/>
      <c r="W959" s="1"/>
      <c r="X959" s="1"/>
      <c r="Y959" s="1"/>
    </row>
    <row r="960" spans="1:25" ht="15.75" customHeight="1" x14ac:dyDescent="0.35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1"/>
      <c r="V960" s="1"/>
      <c r="W960" s="1"/>
      <c r="X960" s="1"/>
      <c r="Y960" s="1"/>
    </row>
    <row r="961" spans="1:25" ht="15.75" customHeight="1" x14ac:dyDescent="0.35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1"/>
      <c r="V961" s="1"/>
      <c r="W961" s="1"/>
      <c r="X961" s="1"/>
      <c r="Y961" s="1"/>
    </row>
    <row r="962" spans="1:25" ht="15.75" customHeight="1" x14ac:dyDescent="0.35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1"/>
      <c r="V962" s="1"/>
      <c r="W962" s="1"/>
      <c r="X962" s="1"/>
      <c r="Y962" s="1"/>
    </row>
    <row r="963" spans="1:25" ht="15.75" customHeight="1" x14ac:dyDescent="0.35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1"/>
      <c r="V963" s="1"/>
      <c r="W963" s="1"/>
      <c r="X963" s="1"/>
      <c r="Y963" s="1"/>
    </row>
    <row r="964" spans="1:25" ht="15.75" customHeight="1" x14ac:dyDescent="0.35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1"/>
      <c r="V964" s="1"/>
      <c r="W964" s="1"/>
      <c r="X964" s="1"/>
      <c r="Y964" s="1"/>
    </row>
    <row r="965" spans="1:25" ht="15.75" customHeight="1" x14ac:dyDescent="0.35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1"/>
      <c r="V965" s="1"/>
      <c r="W965" s="1"/>
      <c r="X965" s="1"/>
      <c r="Y965" s="1"/>
    </row>
    <row r="966" spans="1:25" ht="15.75" customHeight="1" x14ac:dyDescent="0.35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1"/>
      <c r="V966" s="1"/>
      <c r="W966" s="1"/>
      <c r="X966" s="1"/>
      <c r="Y966" s="1"/>
    </row>
    <row r="967" spans="1:25" ht="15.75" customHeight="1" x14ac:dyDescent="0.35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1"/>
      <c r="V967" s="1"/>
      <c r="W967" s="1"/>
      <c r="X967" s="1"/>
      <c r="Y967" s="1"/>
    </row>
    <row r="968" spans="1:25" ht="15.75" customHeight="1" x14ac:dyDescent="0.35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1"/>
      <c r="V968" s="1"/>
      <c r="W968" s="1"/>
      <c r="X968" s="1"/>
      <c r="Y968" s="1"/>
    </row>
    <row r="969" spans="1:25" ht="15.75" customHeight="1" x14ac:dyDescent="0.35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1"/>
      <c r="V969" s="1"/>
      <c r="W969" s="1"/>
      <c r="X969" s="1"/>
      <c r="Y969" s="1"/>
    </row>
    <row r="970" spans="1:25" ht="15.75" customHeight="1" x14ac:dyDescent="0.35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1"/>
      <c r="V970" s="1"/>
      <c r="W970" s="1"/>
      <c r="X970" s="1"/>
      <c r="Y970" s="1"/>
    </row>
    <row r="971" spans="1:25" ht="15.75" customHeight="1" x14ac:dyDescent="0.35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1"/>
      <c r="V971" s="1"/>
      <c r="W971" s="1"/>
      <c r="X971" s="1"/>
      <c r="Y971" s="1"/>
    </row>
    <row r="972" spans="1:25" ht="15.75" customHeight="1" x14ac:dyDescent="0.35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1"/>
      <c r="V972" s="1"/>
      <c r="W972" s="1"/>
      <c r="X972" s="1"/>
      <c r="Y972" s="1"/>
    </row>
    <row r="973" spans="1:25" ht="15.75" customHeight="1" x14ac:dyDescent="0.35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1"/>
      <c r="V973" s="1"/>
      <c r="W973" s="1"/>
      <c r="X973" s="1"/>
      <c r="Y973" s="1"/>
    </row>
    <row r="974" spans="1:25" ht="15.75" customHeight="1" x14ac:dyDescent="0.35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1"/>
      <c r="V974" s="1"/>
      <c r="W974" s="1"/>
      <c r="X974" s="1"/>
      <c r="Y974" s="1"/>
    </row>
    <row r="975" spans="1:25" ht="15.75" customHeight="1" x14ac:dyDescent="0.35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1"/>
      <c r="V975" s="1"/>
      <c r="W975" s="1"/>
      <c r="X975" s="1"/>
      <c r="Y975" s="1"/>
    </row>
    <row r="976" spans="1:25" ht="15.75" customHeight="1" x14ac:dyDescent="0.35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1"/>
      <c r="V976" s="1"/>
      <c r="W976" s="1"/>
      <c r="X976" s="1"/>
      <c r="Y976" s="1"/>
    </row>
    <row r="977" spans="1:25" ht="15.75" customHeight="1" x14ac:dyDescent="0.35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1"/>
      <c r="V977" s="1"/>
      <c r="W977" s="1"/>
      <c r="X977" s="1"/>
      <c r="Y977" s="1"/>
    </row>
    <row r="978" spans="1:25" ht="15.75" customHeight="1" x14ac:dyDescent="0.35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1"/>
      <c r="V978" s="1"/>
      <c r="W978" s="1"/>
      <c r="X978" s="1"/>
      <c r="Y978" s="1"/>
    </row>
    <row r="979" spans="1:25" ht="15.75" customHeight="1" x14ac:dyDescent="0.35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1"/>
      <c r="V979" s="1"/>
      <c r="W979" s="1"/>
      <c r="X979" s="1"/>
      <c r="Y979" s="1"/>
    </row>
    <row r="980" spans="1:25" ht="15.75" customHeight="1" x14ac:dyDescent="0.35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1"/>
      <c r="V980" s="1"/>
      <c r="W980" s="1"/>
      <c r="X980" s="1"/>
      <c r="Y980" s="1"/>
    </row>
    <row r="981" spans="1:25" ht="15.75" customHeight="1" x14ac:dyDescent="0.35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1"/>
      <c r="V981" s="1"/>
      <c r="W981" s="1"/>
      <c r="X981" s="1"/>
      <c r="Y981" s="1"/>
    </row>
    <row r="982" spans="1:25" ht="15.75" customHeight="1" x14ac:dyDescent="0.35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1"/>
      <c r="V982" s="1"/>
      <c r="W982" s="1"/>
      <c r="X982" s="1"/>
      <c r="Y982" s="1"/>
    </row>
    <row r="983" spans="1:25" ht="15.75" customHeight="1" x14ac:dyDescent="0.35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1"/>
      <c r="V983" s="1"/>
      <c r="W983" s="1"/>
      <c r="X983" s="1"/>
      <c r="Y983" s="1"/>
    </row>
    <row r="984" spans="1:25" ht="15.75" customHeight="1" x14ac:dyDescent="0.35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1"/>
      <c r="V984" s="1"/>
      <c r="W984" s="1"/>
      <c r="X984" s="1"/>
      <c r="Y984" s="1"/>
    </row>
    <row r="985" spans="1:25" ht="15.75" customHeight="1" x14ac:dyDescent="0.35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1"/>
      <c r="V985" s="1"/>
      <c r="W985" s="1"/>
      <c r="X985" s="1"/>
      <c r="Y985" s="1"/>
    </row>
    <row r="986" spans="1:25" ht="15.75" customHeight="1" x14ac:dyDescent="0.35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1"/>
      <c r="V986" s="1"/>
      <c r="W986" s="1"/>
      <c r="X986" s="1"/>
      <c r="Y986" s="1"/>
    </row>
    <row r="987" spans="1:25" ht="15.75" customHeight="1" x14ac:dyDescent="0.35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1"/>
      <c r="V987" s="1"/>
      <c r="W987" s="1"/>
      <c r="X987" s="1"/>
      <c r="Y987" s="1"/>
    </row>
    <row r="988" spans="1:25" ht="15.75" customHeight="1" x14ac:dyDescent="0.35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1"/>
      <c r="V988" s="1"/>
      <c r="W988" s="1"/>
      <c r="X988" s="1"/>
      <c r="Y988" s="1"/>
    </row>
    <row r="989" spans="1:25" ht="15.75" customHeight="1" x14ac:dyDescent="0.35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1"/>
      <c r="V989" s="1"/>
      <c r="W989" s="1"/>
      <c r="X989" s="1"/>
      <c r="Y989" s="1"/>
    </row>
    <row r="990" spans="1:25" ht="15.75" customHeight="1" x14ac:dyDescent="0.35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1"/>
      <c r="V990" s="1"/>
      <c r="W990" s="1"/>
      <c r="X990" s="1"/>
      <c r="Y990" s="1"/>
    </row>
    <row r="991" spans="1:25" ht="15.75" customHeight="1" x14ac:dyDescent="0.35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1"/>
      <c r="V991" s="1"/>
      <c r="W991" s="1"/>
      <c r="X991" s="1"/>
      <c r="Y991" s="1"/>
    </row>
    <row r="992" spans="1:25" ht="15.75" customHeight="1" x14ac:dyDescent="0.35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1"/>
      <c r="V992" s="1"/>
      <c r="W992" s="1"/>
      <c r="X992" s="1"/>
      <c r="Y992" s="1"/>
    </row>
    <row r="993" spans="1:25" ht="15.75" customHeight="1" x14ac:dyDescent="0.35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1"/>
      <c r="V993" s="1"/>
      <c r="W993" s="1"/>
      <c r="X993" s="1"/>
      <c r="Y993" s="1"/>
    </row>
    <row r="994" spans="1:25" ht="15.75" customHeight="1" x14ac:dyDescent="0.35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1"/>
      <c r="V994" s="1"/>
      <c r="W994" s="1"/>
      <c r="X994" s="1"/>
      <c r="Y994" s="1"/>
    </row>
    <row r="995" spans="1:25" ht="15.75" customHeight="1" x14ac:dyDescent="0.35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1"/>
      <c r="V995" s="1"/>
      <c r="W995" s="1"/>
      <c r="X995" s="1"/>
      <c r="Y995" s="1"/>
    </row>
    <row r="996" spans="1:25" ht="15.75" customHeight="1" x14ac:dyDescent="0.35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1"/>
      <c r="V996" s="1"/>
      <c r="W996" s="1"/>
      <c r="X996" s="1"/>
      <c r="Y996" s="1"/>
    </row>
    <row r="997" spans="1:25" ht="15.75" customHeight="1" x14ac:dyDescent="0.35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1"/>
      <c r="V997" s="1"/>
      <c r="W997" s="1"/>
      <c r="X997" s="1"/>
      <c r="Y997" s="1"/>
    </row>
    <row r="998" spans="1:25" ht="15.75" customHeight="1" x14ac:dyDescent="0.35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1"/>
      <c r="V998" s="1"/>
      <c r="W998" s="1"/>
      <c r="X998" s="1"/>
      <c r="Y998" s="1"/>
    </row>
    <row r="999" spans="1:25" ht="15.75" customHeight="1" x14ac:dyDescent="0.35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1"/>
      <c r="V999" s="1"/>
      <c r="W999" s="1"/>
      <c r="X999" s="1"/>
      <c r="Y999" s="1"/>
    </row>
    <row r="1000" spans="1:25" ht="15.75" customHeight="1" x14ac:dyDescent="0.35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1"/>
      <c r="V1000" s="1"/>
      <c r="W1000" s="1"/>
      <c r="X1000" s="1"/>
      <c r="Y1000" s="1"/>
    </row>
  </sheetData>
  <sortState ref="A2:O1000">
    <sortCondition ref="I1:I1000"/>
  </sortState>
  <phoneticPr fontId="8" type="noConversion"/>
  <conditionalFormatting sqref="A1:T201">
    <cfRule type="containsBlanks" dxfId="20" priority="11">
      <formula>LEN(TRIM(A1))=0</formula>
    </cfRule>
  </conditionalFormatting>
  <conditionalFormatting sqref="P1:P1048576">
    <cfRule type="containsText" dxfId="19" priority="10" operator="containsText" text="H">
      <formula>NOT(ISERROR(SEARCH("H",P1)))</formula>
    </cfRule>
    <cfRule type="containsText" dxfId="18" priority="6" operator="containsText" text="Hi">
      <formula>NOT(ISERROR(SEARCH("Hi",P1)))</formula>
    </cfRule>
    <cfRule type="containsText" dxfId="17" priority="4" operator="containsText" text="L">
      <formula>NOT(ISERROR(SEARCH("L",P1)))</formula>
    </cfRule>
  </conditionalFormatting>
  <conditionalFormatting sqref="Q1:Q1048576">
    <cfRule type="containsText" dxfId="16" priority="9" operator="containsText" text="Goo">
      <formula>NOT(ISERROR(SEARCH("Goo",Q1)))</formula>
    </cfRule>
    <cfRule type="containsText" dxfId="15" priority="3" operator="containsText" text="Ba">
      <formula>NOT(ISERROR(SEARCH("Ba",Q1)))</formula>
    </cfRule>
  </conditionalFormatting>
  <conditionalFormatting sqref="R1:R1048576">
    <cfRule type="containsText" dxfId="14" priority="8" operator="containsText" text="H">
      <formula>NOT(ISERROR(SEARCH("H",R1)))</formula>
    </cfRule>
    <cfRule type="containsText" dxfId="13" priority="7" operator="containsText" text="Hi">
      <formula>NOT(ISERROR(SEARCH("Hi",R1)))</formula>
    </cfRule>
    <cfRule type="containsText" dxfId="12" priority="2" operator="containsText" text="No">
      <formula>NOT(ISERROR(SEARCH("No",R1)))</formula>
    </cfRule>
  </conditionalFormatting>
  <conditionalFormatting sqref="S1:S1048576">
    <cfRule type="containsText" dxfId="0" priority="5" operator="containsText" text="Hi">
      <formula>NOT(ISERROR(SEARCH("Hi",S1)))</formula>
    </cfRule>
    <cfRule type="containsText" dxfId="1" priority="1" operator="containsText" text="No">
      <formula>NOT(ISERROR(SEARCH("No",S1)))</formula>
    </cfRule>
  </conditionalFormatting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6"/>
  <sheetViews>
    <sheetView workbookViewId="0">
      <selection activeCell="B5" sqref="B5"/>
    </sheetView>
  </sheetViews>
  <sheetFormatPr defaultColWidth="14.453125" defaultRowHeight="14.5" x14ac:dyDescent="0.35"/>
  <cols>
    <col min="1" max="1" width="8.54296875" style="6" customWidth="1"/>
    <col min="2" max="2" width="109.54296875" style="6" bestFit="1" customWidth="1"/>
    <col min="3" max="16384" width="14.453125" style="6"/>
  </cols>
  <sheetData>
    <row r="1" spans="1:3" ht="15.5" x14ac:dyDescent="0.35">
      <c r="A1" s="19" t="s">
        <v>242</v>
      </c>
    </row>
    <row r="2" spans="1:3" ht="15.5" x14ac:dyDescent="0.35">
      <c r="B2" s="8" t="s">
        <v>243</v>
      </c>
    </row>
    <row r="3" spans="1:3" ht="72.5" x14ac:dyDescent="0.35">
      <c r="A3" s="20" t="s">
        <v>244</v>
      </c>
      <c r="B3" s="18" t="s">
        <v>245</v>
      </c>
    </row>
    <row r="4" spans="1:3" ht="58" x14ac:dyDescent="0.35">
      <c r="A4" s="21" t="s">
        <v>246</v>
      </c>
      <c r="B4" s="22" t="s">
        <v>247</v>
      </c>
      <c r="C4" s="7"/>
    </row>
    <row r="5" spans="1:3" ht="72.5" x14ac:dyDescent="0.35">
      <c r="A5" s="23" t="s">
        <v>248</v>
      </c>
      <c r="B5" s="24" t="s">
        <v>249</v>
      </c>
    </row>
    <row r="6" spans="1:3" ht="31" x14ac:dyDescent="0.35">
      <c r="B6" s="8" t="s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96"/>
  <sheetViews>
    <sheetView workbookViewId="0">
      <pane ySplit="1" topLeftCell="A2" activePane="bottomLeft" state="frozen"/>
      <selection pane="bottomLeft" activeCell="C16" sqref="C16"/>
    </sheetView>
  </sheetViews>
  <sheetFormatPr defaultColWidth="14.453125" defaultRowHeight="15.5" x14ac:dyDescent="0.35"/>
  <cols>
    <col min="1" max="1" width="6.26953125" style="4" customWidth="1"/>
    <col min="2" max="2" width="67" style="5" bestFit="1" customWidth="1"/>
    <col min="3" max="3" width="15.26953125" style="4" customWidth="1"/>
    <col min="4" max="4" width="54.26953125" style="5" customWidth="1"/>
    <col min="5" max="5" width="8.7265625" style="4" customWidth="1"/>
    <col min="6" max="6" width="20.1796875" style="4" customWidth="1"/>
    <col min="7" max="26" width="8.7265625" style="4" customWidth="1"/>
    <col min="27" max="16384" width="14.453125" style="4"/>
  </cols>
  <sheetData>
    <row r="1" spans="1:8" x14ac:dyDescent="0.35">
      <c r="A1" s="9" t="s">
        <v>242</v>
      </c>
      <c r="B1" s="10" t="s">
        <v>251</v>
      </c>
      <c r="C1" s="9" t="s">
        <v>252</v>
      </c>
      <c r="D1" s="11" t="s">
        <v>253</v>
      </c>
      <c r="E1" s="3"/>
      <c r="F1" s="3"/>
      <c r="G1" s="3"/>
      <c r="H1" s="3"/>
    </row>
    <row r="2" spans="1:8" ht="31" x14ac:dyDescent="0.35">
      <c r="A2" s="12" t="s">
        <v>254</v>
      </c>
      <c r="B2" s="13" t="s">
        <v>255</v>
      </c>
      <c r="C2" s="14" t="s">
        <v>297</v>
      </c>
      <c r="D2" s="15"/>
    </row>
    <row r="3" spans="1:8" x14ac:dyDescent="0.35">
      <c r="A3" s="16" t="s">
        <v>256</v>
      </c>
      <c r="B3" s="13" t="s">
        <v>257</v>
      </c>
      <c r="C3" s="17">
        <f>SUM(Healthcare_Sales_Dataset!J2:J201)</f>
        <v>3918537.5</v>
      </c>
      <c r="D3" s="15" t="s">
        <v>258</v>
      </c>
    </row>
    <row r="4" spans="1:8" x14ac:dyDescent="0.35">
      <c r="A4" s="16" t="s">
        <v>259</v>
      </c>
      <c r="B4" s="13" t="s">
        <v>260</v>
      </c>
      <c r="C4" s="17">
        <f>COUNTA(Healthcare_Sales_Dataset!A2:A201)</f>
        <v>200</v>
      </c>
      <c r="D4" s="15" t="s">
        <v>261</v>
      </c>
    </row>
    <row r="5" spans="1:8" x14ac:dyDescent="0.35">
      <c r="A5" s="16" t="s">
        <v>262</v>
      </c>
      <c r="B5" s="13" t="s">
        <v>263</v>
      </c>
      <c r="C5" s="17">
        <f>MIN(Healthcare_Sales_Dataset!J2:J201)</f>
        <v>1350</v>
      </c>
      <c r="D5" s="15" t="s">
        <v>264</v>
      </c>
    </row>
    <row r="6" spans="1:8" x14ac:dyDescent="0.35">
      <c r="A6" s="16" t="s">
        <v>265</v>
      </c>
      <c r="B6" s="13" t="s">
        <v>266</v>
      </c>
      <c r="C6" s="17">
        <f>MAX(Healthcare_Sales_Dataset!J2:J201)</f>
        <v>90000</v>
      </c>
      <c r="D6" s="15" t="s">
        <v>267</v>
      </c>
    </row>
    <row r="7" spans="1:8" x14ac:dyDescent="0.35">
      <c r="A7" s="16" t="s">
        <v>268</v>
      </c>
      <c r="B7" s="13" t="s">
        <v>269</v>
      </c>
      <c r="C7" s="17">
        <f>AVERAGE(Healthcare_Sales_Dataset!J2:J201)</f>
        <v>19592.6875</v>
      </c>
      <c r="D7" s="15" t="s">
        <v>270</v>
      </c>
    </row>
    <row r="8" spans="1:8" ht="31" x14ac:dyDescent="0.35">
      <c r="A8" s="12" t="s">
        <v>271</v>
      </c>
      <c r="B8" s="13" t="s">
        <v>272</v>
      </c>
      <c r="C8" s="14" t="s">
        <v>297</v>
      </c>
      <c r="D8" s="15"/>
    </row>
    <row r="9" spans="1:8" ht="46.5" x14ac:dyDescent="0.35">
      <c r="A9" s="12" t="s">
        <v>273</v>
      </c>
      <c r="B9" s="13" t="s">
        <v>274</v>
      </c>
      <c r="C9" s="14" t="s">
        <v>297</v>
      </c>
      <c r="D9" s="15"/>
    </row>
    <row r="10" spans="1:8" x14ac:dyDescent="0.35">
      <c r="A10" s="16" t="s">
        <v>275</v>
      </c>
      <c r="B10" s="13" t="s">
        <v>276</v>
      </c>
      <c r="C10" s="17">
        <f>SUM(Healthcare_Sales_Dataset!L2:L201)</f>
        <v>4387250</v>
      </c>
      <c r="D10" s="15" t="s">
        <v>258</v>
      </c>
    </row>
    <row r="11" spans="1:8" x14ac:dyDescent="0.35">
      <c r="A11" s="16" t="s">
        <v>277</v>
      </c>
      <c r="B11" s="13" t="s">
        <v>278</v>
      </c>
      <c r="C11" s="17">
        <f>SUM(Healthcare_Sales_Dataset!K2:K201)</f>
        <v>587780.72000000009</v>
      </c>
      <c r="D11" s="15" t="s">
        <v>258</v>
      </c>
    </row>
    <row r="12" spans="1:8" x14ac:dyDescent="0.35">
      <c r="A12" s="12" t="s">
        <v>279</v>
      </c>
      <c r="B12" s="13" t="s">
        <v>280</v>
      </c>
      <c r="C12" s="14" t="s">
        <v>297</v>
      </c>
      <c r="D12" s="15" t="s">
        <v>281</v>
      </c>
    </row>
    <row r="13" spans="1:8" ht="31" x14ac:dyDescent="0.35">
      <c r="A13" s="12" t="s">
        <v>282</v>
      </c>
      <c r="B13" s="13" t="s">
        <v>283</v>
      </c>
      <c r="C13" s="14" t="s">
        <v>297</v>
      </c>
      <c r="D13" s="15" t="s">
        <v>284</v>
      </c>
    </row>
    <row r="14" spans="1:8" ht="31" x14ac:dyDescent="0.35">
      <c r="A14" s="12" t="s">
        <v>285</v>
      </c>
      <c r="B14" s="13" t="s">
        <v>286</v>
      </c>
      <c r="C14" s="14" t="s">
        <v>297</v>
      </c>
      <c r="D14" s="15" t="s">
        <v>287</v>
      </c>
    </row>
    <row r="15" spans="1:8" ht="31" x14ac:dyDescent="0.35">
      <c r="A15" s="12" t="s">
        <v>288</v>
      </c>
      <c r="B15" s="13" t="s">
        <v>289</v>
      </c>
      <c r="C15" s="14" t="s">
        <v>297</v>
      </c>
      <c r="D15" s="15" t="s">
        <v>290</v>
      </c>
    </row>
    <row r="16" spans="1:8" ht="62" x14ac:dyDescent="0.35">
      <c r="A16" s="12" t="s">
        <v>291</v>
      </c>
      <c r="B16" s="13" t="s">
        <v>292</v>
      </c>
      <c r="C16" s="14" t="s">
        <v>297</v>
      </c>
      <c r="D16" s="15" t="s">
        <v>293</v>
      </c>
    </row>
    <row r="17" spans="1:4" ht="31" x14ac:dyDescent="0.35">
      <c r="A17" s="12" t="s">
        <v>294</v>
      </c>
      <c r="B17" s="13" t="s">
        <v>295</v>
      </c>
      <c r="C17" s="14" t="s">
        <v>297</v>
      </c>
      <c r="D17" s="15" t="s">
        <v>296</v>
      </c>
    </row>
    <row r="18" spans="1:4" x14ac:dyDescent="0.35">
      <c r="A18" s="2"/>
    </row>
    <row r="19" spans="1:4" x14ac:dyDescent="0.35">
      <c r="A19" s="2"/>
    </row>
    <row r="20" spans="1:4" x14ac:dyDescent="0.35">
      <c r="A20" s="2"/>
    </row>
    <row r="21" spans="1:4" x14ac:dyDescent="0.35">
      <c r="A21" s="2"/>
    </row>
    <row r="22" spans="1:4" x14ac:dyDescent="0.35">
      <c r="A22" s="2"/>
    </row>
    <row r="23" spans="1:4" x14ac:dyDescent="0.35">
      <c r="A23" s="2"/>
    </row>
    <row r="24" spans="1:4" x14ac:dyDescent="0.35">
      <c r="A24" s="2"/>
    </row>
    <row r="25" spans="1:4" x14ac:dyDescent="0.35">
      <c r="A25" s="2"/>
    </row>
    <row r="26" spans="1:4" x14ac:dyDescent="0.35">
      <c r="A26" s="2"/>
    </row>
    <row r="27" spans="1:4" x14ac:dyDescent="0.35">
      <c r="A27" s="2"/>
    </row>
    <row r="28" spans="1:4" x14ac:dyDescent="0.35">
      <c r="A28" s="2"/>
    </row>
    <row r="29" spans="1:4" x14ac:dyDescent="0.35">
      <c r="A29" s="2"/>
    </row>
    <row r="30" spans="1:4" x14ac:dyDescent="0.35">
      <c r="A30" s="2"/>
    </row>
    <row r="31" spans="1:4" x14ac:dyDescent="0.35">
      <c r="A31" s="2"/>
    </row>
    <row r="32" spans="1:4" x14ac:dyDescent="0.35">
      <c r="A32" s="2"/>
    </row>
    <row r="33" spans="1:1" x14ac:dyDescent="0.35">
      <c r="A33" s="2"/>
    </row>
    <row r="34" spans="1:1" x14ac:dyDescent="0.35">
      <c r="A34" s="2"/>
    </row>
    <row r="35" spans="1:1" x14ac:dyDescent="0.35">
      <c r="A35" s="2"/>
    </row>
    <row r="36" spans="1:1" x14ac:dyDescent="0.35">
      <c r="A36" s="2"/>
    </row>
    <row r="37" spans="1:1" x14ac:dyDescent="0.35">
      <c r="A37" s="2"/>
    </row>
    <row r="38" spans="1:1" x14ac:dyDescent="0.35">
      <c r="A38" s="2"/>
    </row>
    <row r="39" spans="1:1" x14ac:dyDescent="0.35">
      <c r="A39" s="2"/>
    </row>
    <row r="40" spans="1:1" x14ac:dyDescent="0.35">
      <c r="A40" s="2"/>
    </row>
    <row r="41" spans="1:1" x14ac:dyDescent="0.35">
      <c r="A41" s="2"/>
    </row>
    <row r="42" spans="1:1" x14ac:dyDescent="0.35">
      <c r="A42" s="2"/>
    </row>
    <row r="43" spans="1:1" x14ac:dyDescent="0.35">
      <c r="A43" s="2"/>
    </row>
    <row r="44" spans="1:1" x14ac:dyDescent="0.35">
      <c r="A44" s="2"/>
    </row>
    <row r="45" spans="1:1" x14ac:dyDescent="0.35">
      <c r="A45" s="2"/>
    </row>
    <row r="46" spans="1:1" x14ac:dyDescent="0.35">
      <c r="A46" s="2"/>
    </row>
    <row r="47" spans="1:1" x14ac:dyDescent="0.35">
      <c r="A47" s="2"/>
    </row>
    <row r="48" spans="1:1" x14ac:dyDescent="0.35">
      <c r="A48" s="2"/>
    </row>
    <row r="49" spans="1:1" x14ac:dyDescent="0.35">
      <c r="A49" s="2"/>
    </row>
    <row r="50" spans="1:1" x14ac:dyDescent="0.35">
      <c r="A50" s="2"/>
    </row>
    <row r="51" spans="1:1" x14ac:dyDescent="0.35">
      <c r="A51" s="2"/>
    </row>
    <row r="52" spans="1:1" x14ac:dyDescent="0.35">
      <c r="A52" s="2"/>
    </row>
    <row r="53" spans="1:1" x14ac:dyDescent="0.35">
      <c r="A53" s="2"/>
    </row>
    <row r="54" spans="1:1" x14ac:dyDescent="0.35">
      <c r="A54" s="2"/>
    </row>
    <row r="55" spans="1:1" x14ac:dyDescent="0.35">
      <c r="A55" s="2"/>
    </row>
    <row r="56" spans="1:1" x14ac:dyDescent="0.35">
      <c r="A56" s="2"/>
    </row>
    <row r="57" spans="1:1" x14ac:dyDescent="0.35">
      <c r="A57" s="2"/>
    </row>
    <row r="58" spans="1:1" x14ac:dyDescent="0.35">
      <c r="A58" s="2"/>
    </row>
    <row r="59" spans="1:1" x14ac:dyDescent="0.35">
      <c r="A59" s="2"/>
    </row>
    <row r="60" spans="1:1" x14ac:dyDescent="0.35">
      <c r="A60" s="2"/>
    </row>
    <row r="61" spans="1:1" x14ac:dyDescent="0.35">
      <c r="A61" s="2"/>
    </row>
    <row r="62" spans="1:1" x14ac:dyDescent="0.35">
      <c r="A62" s="2"/>
    </row>
    <row r="63" spans="1:1" x14ac:dyDescent="0.35">
      <c r="A63" s="2"/>
    </row>
    <row r="64" spans="1:1" x14ac:dyDescent="0.35">
      <c r="A64" s="2"/>
    </row>
    <row r="65" spans="1:1" x14ac:dyDescent="0.35">
      <c r="A65" s="2"/>
    </row>
    <row r="66" spans="1:1" x14ac:dyDescent="0.35">
      <c r="A66" s="2"/>
    </row>
    <row r="67" spans="1:1" x14ac:dyDescent="0.35">
      <c r="A67" s="2"/>
    </row>
    <row r="68" spans="1:1" x14ac:dyDescent="0.35">
      <c r="A68" s="2"/>
    </row>
    <row r="69" spans="1:1" x14ac:dyDescent="0.35">
      <c r="A69" s="2"/>
    </row>
    <row r="70" spans="1:1" x14ac:dyDescent="0.35">
      <c r="A70" s="2"/>
    </row>
    <row r="71" spans="1:1" x14ac:dyDescent="0.35">
      <c r="A71" s="2"/>
    </row>
    <row r="72" spans="1:1" x14ac:dyDescent="0.35">
      <c r="A72" s="2"/>
    </row>
    <row r="73" spans="1:1" x14ac:dyDescent="0.35">
      <c r="A73" s="2"/>
    </row>
    <row r="74" spans="1:1" x14ac:dyDescent="0.35">
      <c r="A74" s="2"/>
    </row>
    <row r="75" spans="1:1" x14ac:dyDescent="0.35">
      <c r="A75" s="2"/>
    </row>
    <row r="76" spans="1:1" x14ac:dyDescent="0.35">
      <c r="A76" s="2"/>
    </row>
    <row r="77" spans="1:1" x14ac:dyDescent="0.35">
      <c r="A77" s="2"/>
    </row>
    <row r="78" spans="1:1" x14ac:dyDescent="0.35">
      <c r="A78" s="2"/>
    </row>
    <row r="79" spans="1:1" x14ac:dyDescent="0.35">
      <c r="A79" s="2"/>
    </row>
    <row r="80" spans="1:1" x14ac:dyDescent="0.35">
      <c r="A80" s="2"/>
    </row>
    <row r="81" spans="1:1" x14ac:dyDescent="0.35">
      <c r="A81" s="2"/>
    </row>
    <row r="82" spans="1:1" x14ac:dyDescent="0.35">
      <c r="A82" s="2"/>
    </row>
    <row r="83" spans="1:1" x14ac:dyDescent="0.35">
      <c r="A83" s="2"/>
    </row>
    <row r="84" spans="1:1" x14ac:dyDescent="0.35">
      <c r="A84" s="2"/>
    </row>
    <row r="85" spans="1:1" x14ac:dyDescent="0.35">
      <c r="A85" s="2"/>
    </row>
    <row r="86" spans="1:1" x14ac:dyDescent="0.35">
      <c r="A86" s="2"/>
    </row>
    <row r="87" spans="1:1" x14ac:dyDescent="0.35">
      <c r="A87" s="2"/>
    </row>
    <row r="88" spans="1:1" x14ac:dyDescent="0.35">
      <c r="A88" s="2"/>
    </row>
    <row r="89" spans="1:1" x14ac:dyDescent="0.35">
      <c r="A89" s="2"/>
    </row>
    <row r="90" spans="1:1" x14ac:dyDescent="0.35">
      <c r="A90" s="2"/>
    </row>
    <row r="91" spans="1:1" x14ac:dyDescent="0.35">
      <c r="A91" s="2"/>
    </row>
    <row r="92" spans="1:1" x14ac:dyDescent="0.35">
      <c r="A92" s="2"/>
    </row>
    <row r="93" spans="1:1" x14ac:dyDescent="0.35">
      <c r="A93" s="2"/>
    </row>
    <row r="94" spans="1:1" x14ac:dyDescent="0.35">
      <c r="A94" s="2"/>
    </row>
    <row r="95" spans="1:1" x14ac:dyDescent="0.35">
      <c r="A95" s="2"/>
    </row>
    <row r="96" spans="1:1" x14ac:dyDescent="0.35">
      <c r="A96" s="2"/>
    </row>
    <row r="97" spans="1:1" x14ac:dyDescent="0.35">
      <c r="A97" s="2"/>
    </row>
    <row r="98" spans="1:1" x14ac:dyDescent="0.35">
      <c r="A98" s="2"/>
    </row>
    <row r="99" spans="1:1" x14ac:dyDescent="0.35">
      <c r="A99" s="2"/>
    </row>
    <row r="100" spans="1:1" x14ac:dyDescent="0.35">
      <c r="A100" s="2"/>
    </row>
    <row r="101" spans="1:1" x14ac:dyDescent="0.35">
      <c r="A101" s="2"/>
    </row>
    <row r="102" spans="1:1" x14ac:dyDescent="0.35">
      <c r="A102" s="2"/>
    </row>
    <row r="103" spans="1:1" x14ac:dyDescent="0.35">
      <c r="A103" s="2"/>
    </row>
    <row r="104" spans="1:1" x14ac:dyDescent="0.35">
      <c r="A104" s="2"/>
    </row>
    <row r="105" spans="1:1" x14ac:dyDescent="0.35">
      <c r="A105" s="2"/>
    </row>
    <row r="106" spans="1:1" x14ac:dyDescent="0.35">
      <c r="A106" s="2"/>
    </row>
    <row r="107" spans="1:1" x14ac:dyDescent="0.35">
      <c r="A107" s="2"/>
    </row>
    <row r="108" spans="1:1" x14ac:dyDescent="0.35">
      <c r="A108" s="2"/>
    </row>
    <row r="109" spans="1:1" x14ac:dyDescent="0.35">
      <c r="A109" s="2"/>
    </row>
    <row r="110" spans="1:1" x14ac:dyDescent="0.35">
      <c r="A110" s="2"/>
    </row>
    <row r="111" spans="1:1" x14ac:dyDescent="0.35">
      <c r="A111" s="2"/>
    </row>
    <row r="112" spans="1:1" x14ac:dyDescent="0.35">
      <c r="A112" s="2"/>
    </row>
    <row r="113" spans="1:1" x14ac:dyDescent="0.35">
      <c r="A113" s="2"/>
    </row>
    <row r="114" spans="1:1" x14ac:dyDescent="0.35">
      <c r="A114" s="2"/>
    </row>
    <row r="115" spans="1:1" x14ac:dyDescent="0.35">
      <c r="A115" s="2"/>
    </row>
    <row r="116" spans="1:1" x14ac:dyDescent="0.35">
      <c r="A116" s="2"/>
    </row>
    <row r="117" spans="1:1" x14ac:dyDescent="0.35">
      <c r="A117" s="2"/>
    </row>
    <row r="118" spans="1:1" x14ac:dyDescent="0.35">
      <c r="A118" s="2"/>
    </row>
    <row r="119" spans="1:1" x14ac:dyDescent="0.35">
      <c r="A119" s="2"/>
    </row>
    <row r="120" spans="1:1" x14ac:dyDescent="0.35">
      <c r="A120" s="2"/>
    </row>
    <row r="121" spans="1:1" x14ac:dyDescent="0.35">
      <c r="A121" s="2"/>
    </row>
    <row r="122" spans="1:1" x14ac:dyDescent="0.35">
      <c r="A122" s="2"/>
    </row>
    <row r="123" spans="1:1" x14ac:dyDescent="0.35">
      <c r="A123" s="2"/>
    </row>
    <row r="124" spans="1:1" x14ac:dyDescent="0.35">
      <c r="A124" s="2"/>
    </row>
    <row r="125" spans="1:1" x14ac:dyDescent="0.35">
      <c r="A125" s="2"/>
    </row>
    <row r="126" spans="1:1" x14ac:dyDescent="0.35">
      <c r="A126" s="2"/>
    </row>
    <row r="127" spans="1:1" x14ac:dyDescent="0.35">
      <c r="A127" s="2"/>
    </row>
    <row r="128" spans="1:1" x14ac:dyDescent="0.35">
      <c r="A128" s="2"/>
    </row>
    <row r="129" spans="1:1" x14ac:dyDescent="0.35">
      <c r="A129" s="2"/>
    </row>
    <row r="130" spans="1:1" x14ac:dyDescent="0.35">
      <c r="A130" s="2"/>
    </row>
    <row r="131" spans="1:1" x14ac:dyDescent="0.35">
      <c r="A131" s="2"/>
    </row>
    <row r="132" spans="1:1" x14ac:dyDescent="0.35">
      <c r="A132" s="2"/>
    </row>
    <row r="133" spans="1:1" x14ac:dyDescent="0.35">
      <c r="A133" s="2"/>
    </row>
    <row r="134" spans="1:1" x14ac:dyDescent="0.35">
      <c r="A134" s="2"/>
    </row>
    <row r="135" spans="1:1" x14ac:dyDescent="0.35">
      <c r="A135" s="2"/>
    </row>
    <row r="136" spans="1:1" x14ac:dyDescent="0.35">
      <c r="A136" s="2"/>
    </row>
    <row r="137" spans="1:1" x14ac:dyDescent="0.35">
      <c r="A137" s="2"/>
    </row>
    <row r="138" spans="1:1" x14ac:dyDescent="0.35">
      <c r="A138" s="2"/>
    </row>
    <row r="139" spans="1:1" x14ac:dyDescent="0.35">
      <c r="A139" s="2"/>
    </row>
    <row r="140" spans="1:1" x14ac:dyDescent="0.35">
      <c r="A140" s="2"/>
    </row>
    <row r="141" spans="1:1" x14ac:dyDescent="0.35">
      <c r="A141" s="2"/>
    </row>
    <row r="142" spans="1:1" x14ac:dyDescent="0.35">
      <c r="A142" s="2"/>
    </row>
    <row r="143" spans="1:1" x14ac:dyDescent="0.35">
      <c r="A143" s="2"/>
    </row>
    <row r="144" spans="1:1" x14ac:dyDescent="0.35">
      <c r="A144" s="2"/>
    </row>
    <row r="145" spans="1:1" x14ac:dyDescent="0.35">
      <c r="A145" s="2"/>
    </row>
    <row r="146" spans="1:1" x14ac:dyDescent="0.35">
      <c r="A146" s="2"/>
    </row>
    <row r="147" spans="1:1" x14ac:dyDescent="0.35">
      <c r="A147" s="2"/>
    </row>
    <row r="148" spans="1:1" x14ac:dyDescent="0.35">
      <c r="A148" s="2"/>
    </row>
    <row r="149" spans="1:1" x14ac:dyDescent="0.35">
      <c r="A149" s="2"/>
    </row>
    <row r="150" spans="1:1" x14ac:dyDescent="0.35">
      <c r="A150" s="2"/>
    </row>
    <row r="151" spans="1:1" x14ac:dyDescent="0.35">
      <c r="A151" s="2"/>
    </row>
    <row r="152" spans="1:1" x14ac:dyDescent="0.35">
      <c r="A152" s="2"/>
    </row>
    <row r="153" spans="1:1" x14ac:dyDescent="0.35">
      <c r="A153" s="2"/>
    </row>
    <row r="154" spans="1:1" x14ac:dyDescent="0.35">
      <c r="A154" s="2"/>
    </row>
    <row r="155" spans="1:1" x14ac:dyDescent="0.35">
      <c r="A155" s="2"/>
    </row>
    <row r="156" spans="1:1" x14ac:dyDescent="0.35">
      <c r="A156" s="2"/>
    </row>
    <row r="157" spans="1:1" x14ac:dyDescent="0.35">
      <c r="A157" s="2"/>
    </row>
    <row r="158" spans="1:1" x14ac:dyDescent="0.35">
      <c r="A158" s="2"/>
    </row>
    <row r="159" spans="1:1" x14ac:dyDescent="0.35">
      <c r="A159" s="2"/>
    </row>
    <row r="160" spans="1:1" x14ac:dyDescent="0.35">
      <c r="A160" s="2"/>
    </row>
    <row r="161" spans="1:1" x14ac:dyDescent="0.35">
      <c r="A161" s="2"/>
    </row>
    <row r="162" spans="1:1" x14ac:dyDescent="0.35">
      <c r="A162" s="2"/>
    </row>
    <row r="163" spans="1:1" x14ac:dyDescent="0.35">
      <c r="A163" s="2"/>
    </row>
    <row r="164" spans="1:1" x14ac:dyDescent="0.35">
      <c r="A164" s="2"/>
    </row>
    <row r="165" spans="1:1" x14ac:dyDescent="0.35">
      <c r="A165" s="2"/>
    </row>
    <row r="166" spans="1:1" x14ac:dyDescent="0.35">
      <c r="A166" s="2"/>
    </row>
    <row r="167" spans="1:1" x14ac:dyDescent="0.35">
      <c r="A167" s="2"/>
    </row>
    <row r="168" spans="1:1" x14ac:dyDescent="0.35">
      <c r="A168" s="2"/>
    </row>
    <row r="169" spans="1:1" x14ac:dyDescent="0.35">
      <c r="A169" s="2"/>
    </row>
    <row r="170" spans="1:1" x14ac:dyDescent="0.35">
      <c r="A170" s="2"/>
    </row>
    <row r="171" spans="1:1" x14ac:dyDescent="0.35">
      <c r="A171" s="2"/>
    </row>
    <row r="172" spans="1:1" x14ac:dyDescent="0.35">
      <c r="A172" s="2"/>
    </row>
    <row r="173" spans="1:1" x14ac:dyDescent="0.35">
      <c r="A173" s="2"/>
    </row>
    <row r="174" spans="1:1" x14ac:dyDescent="0.35">
      <c r="A174" s="2"/>
    </row>
    <row r="175" spans="1:1" x14ac:dyDescent="0.35">
      <c r="A175" s="2"/>
    </row>
    <row r="176" spans="1:1" x14ac:dyDescent="0.35">
      <c r="A176" s="2"/>
    </row>
    <row r="177" spans="1:1" x14ac:dyDescent="0.35">
      <c r="A177" s="2"/>
    </row>
    <row r="178" spans="1:1" x14ac:dyDescent="0.35">
      <c r="A178" s="2"/>
    </row>
    <row r="179" spans="1:1" x14ac:dyDescent="0.35">
      <c r="A179" s="2"/>
    </row>
    <row r="180" spans="1:1" x14ac:dyDescent="0.35">
      <c r="A180" s="2"/>
    </row>
    <row r="181" spans="1:1" x14ac:dyDescent="0.35">
      <c r="A181" s="2"/>
    </row>
    <row r="182" spans="1:1" x14ac:dyDescent="0.35">
      <c r="A182" s="2"/>
    </row>
    <row r="183" spans="1:1" x14ac:dyDescent="0.35">
      <c r="A183" s="2"/>
    </row>
    <row r="184" spans="1:1" x14ac:dyDescent="0.35">
      <c r="A184" s="2"/>
    </row>
    <row r="185" spans="1:1" x14ac:dyDescent="0.35">
      <c r="A185" s="2"/>
    </row>
    <row r="186" spans="1:1" x14ac:dyDescent="0.35">
      <c r="A186" s="2"/>
    </row>
    <row r="187" spans="1:1" x14ac:dyDescent="0.35">
      <c r="A187" s="2"/>
    </row>
    <row r="188" spans="1:1" x14ac:dyDescent="0.35">
      <c r="A188" s="2"/>
    </row>
    <row r="189" spans="1:1" x14ac:dyDescent="0.35">
      <c r="A189" s="2"/>
    </row>
    <row r="190" spans="1:1" x14ac:dyDescent="0.35">
      <c r="A190" s="2"/>
    </row>
    <row r="191" spans="1:1" x14ac:dyDescent="0.35">
      <c r="A191" s="2"/>
    </row>
    <row r="192" spans="1:1" x14ac:dyDescent="0.35">
      <c r="A192" s="2"/>
    </row>
    <row r="193" spans="1:1" x14ac:dyDescent="0.35">
      <c r="A193" s="2"/>
    </row>
    <row r="194" spans="1:1" x14ac:dyDescent="0.35">
      <c r="A194" s="2"/>
    </row>
    <row r="195" spans="1:1" x14ac:dyDescent="0.35">
      <c r="A195" s="2"/>
    </row>
    <row r="196" spans="1:1" x14ac:dyDescent="0.35">
      <c r="A196" s="2"/>
    </row>
    <row r="197" spans="1:1" x14ac:dyDescent="0.35">
      <c r="A197" s="2"/>
    </row>
    <row r="198" spans="1:1" x14ac:dyDescent="0.35">
      <c r="A198" s="2"/>
    </row>
    <row r="199" spans="1:1" x14ac:dyDescent="0.35">
      <c r="A199" s="2"/>
    </row>
    <row r="200" spans="1:1" x14ac:dyDescent="0.35">
      <c r="A200" s="2"/>
    </row>
    <row r="201" spans="1:1" x14ac:dyDescent="0.35">
      <c r="A201" s="2"/>
    </row>
    <row r="202" spans="1:1" x14ac:dyDescent="0.35">
      <c r="A202" s="2"/>
    </row>
    <row r="203" spans="1:1" x14ac:dyDescent="0.35">
      <c r="A203" s="2"/>
    </row>
    <row r="204" spans="1:1" x14ac:dyDescent="0.35">
      <c r="A204" s="2"/>
    </row>
    <row r="205" spans="1:1" x14ac:dyDescent="0.35">
      <c r="A205" s="2"/>
    </row>
    <row r="206" spans="1:1" x14ac:dyDescent="0.35">
      <c r="A206" s="2"/>
    </row>
    <row r="207" spans="1:1" x14ac:dyDescent="0.35">
      <c r="A207" s="2"/>
    </row>
    <row r="208" spans="1:1" x14ac:dyDescent="0.35">
      <c r="A208" s="2"/>
    </row>
    <row r="209" spans="1:1" x14ac:dyDescent="0.35">
      <c r="A209" s="2"/>
    </row>
    <row r="210" spans="1:1" x14ac:dyDescent="0.35">
      <c r="A210" s="2"/>
    </row>
    <row r="211" spans="1:1" x14ac:dyDescent="0.35">
      <c r="A211" s="2"/>
    </row>
    <row r="212" spans="1:1" x14ac:dyDescent="0.35">
      <c r="A212" s="2"/>
    </row>
    <row r="213" spans="1:1" x14ac:dyDescent="0.35">
      <c r="A213" s="2"/>
    </row>
    <row r="214" spans="1:1" x14ac:dyDescent="0.35">
      <c r="A214" s="2"/>
    </row>
    <row r="215" spans="1:1" x14ac:dyDescent="0.35">
      <c r="A215" s="2"/>
    </row>
    <row r="216" spans="1:1" x14ac:dyDescent="0.35">
      <c r="A216" s="2"/>
    </row>
    <row r="217" spans="1:1" x14ac:dyDescent="0.35">
      <c r="A217" s="2"/>
    </row>
    <row r="218" spans="1:1" x14ac:dyDescent="0.35">
      <c r="A218" s="2"/>
    </row>
    <row r="219" spans="1:1" x14ac:dyDescent="0.35">
      <c r="A219" s="2"/>
    </row>
    <row r="220" spans="1:1" x14ac:dyDescent="0.35">
      <c r="A220" s="2"/>
    </row>
    <row r="221" spans="1:1" x14ac:dyDescent="0.35">
      <c r="A221" s="2"/>
    </row>
    <row r="222" spans="1:1" x14ac:dyDescent="0.35">
      <c r="A222" s="2"/>
    </row>
    <row r="223" spans="1:1" x14ac:dyDescent="0.35">
      <c r="A223" s="2"/>
    </row>
    <row r="224" spans="1:1" x14ac:dyDescent="0.35">
      <c r="A224" s="2"/>
    </row>
    <row r="225" spans="1:1" x14ac:dyDescent="0.35">
      <c r="A225" s="2"/>
    </row>
    <row r="226" spans="1:1" x14ac:dyDescent="0.35">
      <c r="A226" s="2"/>
    </row>
    <row r="227" spans="1:1" x14ac:dyDescent="0.35">
      <c r="A227" s="2"/>
    </row>
    <row r="228" spans="1:1" x14ac:dyDescent="0.35">
      <c r="A228" s="2"/>
    </row>
    <row r="229" spans="1:1" x14ac:dyDescent="0.35">
      <c r="A229" s="2"/>
    </row>
    <row r="230" spans="1:1" x14ac:dyDescent="0.35">
      <c r="A230" s="2"/>
    </row>
    <row r="231" spans="1:1" x14ac:dyDescent="0.35">
      <c r="A231" s="2"/>
    </row>
    <row r="232" spans="1:1" x14ac:dyDescent="0.35">
      <c r="A232" s="2"/>
    </row>
    <row r="233" spans="1:1" x14ac:dyDescent="0.35">
      <c r="A233" s="2"/>
    </row>
    <row r="234" spans="1:1" x14ac:dyDescent="0.35">
      <c r="A234" s="2"/>
    </row>
    <row r="235" spans="1:1" x14ac:dyDescent="0.35">
      <c r="A235" s="2"/>
    </row>
    <row r="236" spans="1:1" x14ac:dyDescent="0.35">
      <c r="A236" s="2"/>
    </row>
    <row r="237" spans="1:1" x14ac:dyDescent="0.35">
      <c r="A237" s="2"/>
    </row>
    <row r="238" spans="1:1" x14ac:dyDescent="0.35">
      <c r="A238" s="2"/>
    </row>
    <row r="239" spans="1:1" x14ac:dyDescent="0.35">
      <c r="A239" s="2"/>
    </row>
    <row r="240" spans="1:1" x14ac:dyDescent="0.35">
      <c r="A240" s="2"/>
    </row>
    <row r="241" spans="1:1" x14ac:dyDescent="0.35">
      <c r="A241" s="2"/>
    </row>
    <row r="242" spans="1:1" x14ac:dyDescent="0.35">
      <c r="A242" s="2"/>
    </row>
    <row r="243" spans="1:1" x14ac:dyDescent="0.35">
      <c r="A243" s="2"/>
    </row>
    <row r="244" spans="1:1" x14ac:dyDescent="0.35">
      <c r="A244" s="2"/>
    </row>
    <row r="245" spans="1:1" x14ac:dyDescent="0.35">
      <c r="A245" s="2"/>
    </row>
    <row r="246" spans="1:1" x14ac:dyDescent="0.35">
      <c r="A246" s="2"/>
    </row>
    <row r="247" spans="1:1" x14ac:dyDescent="0.35">
      <c r="A247" s="2"/>
    </row>
    <row r="248" spans="1:1" x14ac:dyDescent="0.35">
      <c r="A248" s="2"/>
    </row>
    <row r="249" spans="1:1" x14ac:dyDescent="0.35">
      <c r="A249" s="2"/>
    </row>
    <row r="250" spans="1:1" x14ac:dyDescent="0.35">
      <c r="A250" s="2"/>
    </row>
    <row r="251" spans="1:1" x14ac:dyDescent="0.35">
      <c r="A251" s="2"/>
    </row>
    <row r="252" spans="1:1" x14ac:dyDescent="0.35">
      <c r="A252" s="2"/>
    </row>
    <row r="253" spans="1:1" x14ac:dyDescent="0.35">
      <c r="A253" s="2"/>
    </row>
    <row r="254" spans="1:1" x14ac:dyDescent="0.35">
      <c r="A254" s="2"/>
    </row>
    <row r="255" spans="1:1" x14ac:dyDescent="0.35">
      <c r="A255" s="2"/>
    </row>
    <row r="256" spans="1:1" x14ac:dyDescent="0.35">
      <c r="A256" s="2"/>
    </row>
    <row r="257" spans="1:1" x14ac:dyDescent="0.35">
      <c r="A257" s="2"/>
    </row>
    <row r="258" spans="1:1" x14ac:dyDescent="0.35">
      <c r="A258" s="2"/>
    </row>
    <row r="259" spans="1:1" x14ac:dyDescent="0.35">
      <c r="A259" s="2"/>
    </row>
    <row r="260" spans="1:1" x14ac:dyDescent="0.35">
      <c r="A260" s="2"/>
    </row>
    <row r="261" spans="1:1" x14ac:dyDescent="0.35">
      <c r="A261" s="2"/>
    </row>
    <row r="262" spans="1:1" x14ac:dyDescent="0.35">
      <c r="A262" s="2"/>
    </row>
    <row r="263" spans="1:1" x14ac:dyDescent="0.35">
      <c r="A263" s="2"/>
    </row>
    <row r="264" spans="1:1" x14ac:dyDescent="0.35">
      <c r="A264" s="2"/>
    </row>
    <row r="265" spans="1:1" x14ac:dyDescent="0.35">
      <c r="A265" s="2"/>
    </row>
    <row r="266" spans="1:1" x14ac:dyDescent="0.35">
      <c r="A266" s="2"/>
    </row>
    <row r="267" spans="1:1" x14ac:dyDescent="0.35">
      <c r="A267" s="2"/>
    </row>
    <row r="268" spans="1:1" x14ac:dyDescent="0.35">
      <c r="A268" s="2"/>
    </row>
    <row r="269" spans="1:1" x14ac:dyDescent="0.35">
      <c r="A269" s="2"/>
    </row>
    <row r="270" spans="1:1" x14ac:dyDescent="0.35">
      <c r="A270" s="2"/>
    </row>
    <row r="271" spans="1:1" x14ac:dyDescent="0.35">
      <c r="A271" s="2"/>
    </row>
    <row r="272" spans="1:1" x14ac:dyDescent="0.35">
      <c r="A272" s="2"/>
    </row>
    <row r="273" spans="1:1" x14ac:dyDescent="0.35">
      <c r="A273" s="2"/>
    </row>
    <row r="274" spans="1:1" x14ac:dyDescent="0.35">
      <c r="A274" s="2"/>
    </row>
    <row r="275" spans="1:1" x14ac:dyDescent="0.35">
      <c r="A275" s="2"/>
    </row>
    <row r="276" spans="1:1" x14ac:dyDescent="0.35">
      <c r="A276" s="2"/>
    </row>
    <row r="277" spans="1:1" x14ac:dyDescent="0.35">
      <c r="A277" s="2"/>
    </row>
    <row r="278" spans="1:1" x14ac:dyDescent="0.35">
      <c r="A278" s="2"/>
    </row>
    <row r="279" spans="1:1" x14ac:dyDescent="0.35">
      <c r="A279" s="2"/>
    </row>
    <row r="280" spans="1:1" x14ac:dyDescent="0.35">
      <c r="A280" s="2"/>
    </row>
    <row r="281" spans="1:1" x14ac:dyDescent="0.35">
      <c r="A281" s="2"/>
    </row>
    <row r="282" spans="1:1" x14ac:dyDescent="0.35">
      <c r="A282" s="2"/>
    </row>
    <row r="283" spans="1:1" x14ac:dyDescent="0.35">
      <c r="A283" s="2"/>
    </row>
    <row r="284" spans="1:1" x14ac:dyDescent="0.35">
      <c r="A284" s="2"/>
    </row>
    <row r="285" spans="1:1" x14ac:dyDescent="0.35">
      <c r="A285" s="2"/>
    </row>
    <row r="286" spans="1:1" x14ac:dyDescent="0.35">
      <c r="A286" s="2"/>
    </row>
    <row r="287" spans="1:1" x14ac:dyDescent="0.35">
      <c r="A287" s="2"/>
    </row>
    <row r="288" spans="1:1" x14ac:dyDescent="0.35">
      <c r="A288" s="2"/>
    </row>
    <row r="289" spans="1:1" x14ac:dyDescent="0.35">
      <c r="A289" s="2"/>
    </row>
    <row r="290" spans="1:1" x14ac:dyDescent="0.35">
      <c r="A290" s="2"/>
    </row>
    <row r="291" spans="1:1" x14ac:dyDescent="0.35">
      <c r="A291" s="2"/>
    </row>
    <row r="292" spans="1:1" x14ac:dyDescent="0.35">
      <c r="A292" s="2"/>
    </row>
    <row r="293" spans="1:1" x14ac:dyDescent="0.35">
      <c r="A293" s="2"/>
    </row>
    <row r="294" spans="1:1" x14ac:dyDescent="0.35">
      <c r="A294" s="2"/>
    </row>
    <row r="295" spans="1:1" x14ac:dyDescent="0.35">
      <c r="A295" s="2"/>
    </row>
    <row r="296" spans="1:1" x14ac:dyDescent="0.35">
      <c r="A296" s="2"/>
    </row>
    <row r="297" spans="1:1" x14ac:dyDescent="0.35">
      <c r="A297" s="2"/>
    </row>
    <row r="298" spans="1:1" x14ac:dyDescent="0.35">
      <c r="A298" s="2"/>
    </row>
    <row r="299" spans="1:1" x14ac:dyDescent="0.35">
      <c r="A299" s="2"/>
    </row>
    <row r="300" spans="1:1" x14ac:dyDescent="0.35">
      <c r="A300" s="2"/>
    </row>
    <row r="301" spans="1:1" x14ac:dyDescent="0.35">
      <c r="A301" s="2"/>
    </row>
    <row r="302" spans="1:1" x14ac:dyDescent="0.35">
      <c r="A302" s="2"/>
    </row>
    <row r="303" spans="1:1" x14ac:dyDescent="0.35">
      <c r="A303" s="2"/>
    </row>
    <row r="304" spans="1:1" x14ac:dyDescent="0.35">
      <c r="A304" s="2"/>
    </row>
    <row r="305" spans="1:1" x14ac:dyDescent="0.35">
      <c r="A305" s="2"/>
    </row>
    <row r="306" spans="1:1" x14ac:dyDescent="0.35">
      <c r="A306" s="2"/>
    </row>
    <row r="307" spans="1:1" x14ac:dyDescent="0.35">
      <c r="A307" s="2"/>
    </row>
    <row r="308" spans="1:1" x14ac:dyDescent="0.35">
      <c r="A308" s="2"/>
    </row>
    <row r="309" spans="1:1" x14ac:dyDescent="0.35">
      <c r="A309" s="2"/>
    </row>
    <row r="310" spans="1:1" x14ac:dyDescent="0.35">
      <c r="A310" s="2"/>
    </row>
    <row r="311" spans="1:1" x14ac:dyDescent="0.35">
      <c r="A311" s="2"/>
    </row>
    <row r="312" spans="1:1" x14ac:dyDescent="0.35">
      <c r="A312" s="2"/>
    </row>
    <row r="313" spans="1:1" x14ac:dyDescent="0.35">
      <c r="A313" s="2"/>
    </row>
    <row r="314" spans="1:1" x14ac:dyDescent="0.35">
      <c r="A314" s="2"/>
    </row>
    <row r="315" spans="1:1" x14ac:dyDescent="0.35">
      <c r="A315" s="2"/>
    </row>
    <row r="316" spans="1:1" x14ac:dyDescent="0.35">
      <c r="A316" s="2"/>
    </row>
    <row r="317" spans="1:1" x14ac:dyDescent="0.35">
      <c r="A317" s="2"/>
    </row>
    <row r="318" spans="1:1" x14ac:dyDescent="0.35">
      <c r="A318" s="2"/>
    </row>
    <row r="319" spans="1:1" x14ac:dyDescent="0.35">
      <c r="A319" s="2"/>
    </row>
    <row r="320" spans="1:1" x14ac:dyDescent="0.35">
      <c r="A320" s="2"/>
    </row>
    <row r="321" spans="1:1" x14ac:dyDescent="0.35">
      <c r="A321" s="2"/>
    </row>
    <row r="322" spans="1:1" x14ac:dyDescent="0.35">
      <c r="A322" s="2"/>
    </row>
    <row r="323" spans="1:1" x14ac:dyDescent="0.35">
      <c r="A323" s="2"/>
    </row>
    <row r="324" spans="1:1" x14ac:dyDescent="0.35">
      <c r="A324" s="2"/>
    </row>
    <row r="325" spans="1:1" x14ac:dyDescent="0.35">
      <c r="A325" s="2"/>
    </row>
    <row r="326" spans="1:1" x14ac:dyDescent="0.35">
      <c r="A326" s="2"/>
    </row>
    <row r="327" spans="1:1" x14ac:dyDescent="0.35">
      <c r="A327" s="2"/>
    </row>
    <row r="328" spans="1:1" x14ac:dyDescent="0.35">
      <c r="A328" s="2"/>
    </row>
    <row r="329" spans="1:1" x14ac:dyDescent="0.35">
      <c r="A329" s="2"/>
    </row>
    <row r="330" spans="1:1" x14ac:dyDescent="0.35">
      <c r="A330" s="2"/>
    </row>
    <row r="331" spans="1:1" x14ac:dyDescent="0.35">
      <c r="A331" s="2"/>
    </row>
    <row r="332" spans="1:1" x14ac:dyDescent="0.35">
      <c r="A332" s="2"/>
    </row>
    <row r="333" spans="1:1" x14ac:dyDescent="0.35">
      <c r="A333" s="2"/>
    </row>
    <row r="334" spans="1:1" x14ac:dyDescent="0.35">
      <c r="A334" s="2"/>
    </row>
    <row r="335" spans="1:1" x14ac:dyDescent="0.35">
      <c r="A335" s="2"/>
    </row>
    <row r="336" spans="1:1" x14ac:dyDescent="0.35">
      <c r="A336" s="2"/>
    </row>
    <row r="337" spans="1:1" x14ac:dyDescent="0.35">
      <c r="A337" s="2"/>
    </row>
    <row r="338" spans="1:1" x14ac:dyDescent="0.35">
      <c r="A338" s="2"/>
    </row>
    <row r="339" spans="1:1" x14ac:dyDescent="0.35">
      <c r="A339" s="2"/>
    </row>
    <row r="340" spans="1:1" x14ac:dyDescent="0.35">
      <c r="A340" s="2"/>
    </row>
    <row r="341" spans="1:1" x14ac:dyDescent="0.35">
      <c r="A341" s="2"/>
    </row>
    <row r="342" spans="1:1" x14ac:dyDescent="0.35">
      <c r="A342" s="2"/>
    </row>
    <row r="343" spans="1:1" x14ac:dyDescent="0.35">
      <c r="A343" s="2"/>
    </row>
    <row r="344" spans="1:1" x14ac:dyDescent="0.35">
      <c r="A344" s="2"/>
    </row>
    <row r="345" spans="1:1" x14ac:dyDescent="0.35">
      <c r="A345" s="2"/>
    </row>
    <row r="346" spans="1:1" x14ac:dyDescent="0.35">
      <c r="A346" s="2"/>
    </row>
    <row r="347" spans="1:1" x14ac:dyDescent="0.35">
      <c r="A347" s="2"/>
    </row>
    <row r="348" spans="1:1" x14ac:dyDescent="0.35">
      <c r="A348" s="2"/>
    </row>
    <row r="349" spans="1:1" x14ac:dyDescent="0.35">
      <c r="A349" s="2"/>
    </row>
    <row r="350" spans="1:1" x14ac:dyDescent="0.35">
      <c r="A350" s="2"/>
    </row>
    <row r="351" spans="1:1" x14ac:dyDescent="0.35">
      <c r="A351" s="2"/>
    </row>
    <row r="352" spans="1:1" x14ac:dyDescent="0.35">
      <c r="A352" s="2"/>
    </row>
    <row r="353" spans="1:1" x14ac:dyDescent="0.35">
      <c r="A353" s="2"/>
    </row>
    <row r="354" spans="1:1" x14ac:dyDescent="0.35">
      <c r="A354" s="2"/>
    </row>
    <row r="355" spans="1:1" x14ac:dyDescent="0.35">
      <c r="A355" s="2"/>
    </row>
    <row r="356" spans="1:1" x14ac:dyDescent="0.35">
      <c r="A356" s="2"/>
    </row>
    <row r="357" spans="1:1" x14ac:dyDescent="0.35">
      <c r="A357" s="2"/>
    </row>
    <row r="358" spans="1:1" x14ac:dyDescent="0.35">
      <c r="A358" s="2"/>
    </row>
    <row r="359" spans="1:1" x14ac:dyDescent="0.35">
      <c r="A359" s="2"/>
    </row>
    <row r="360" spans="1:1" x14ac:dyDescent="0.35">
      <c r="A360" s="2"/>
    </row>
    <row r="361" spans="1:1" x14ac:dyDescent="0.35">
      <c r="A361" s="2"/>
    </row>
    <row r="362" spans="1:1" x14ac:dyDescent="0.35">
      <c r="A362" s="2"/>
    </row>
    <row r="363" spans="1:1" x14ac:dyDescent="0.35">
      <c r="A363" s="2"/>
    </row>
    <row r="364" spans="1:1" x14ac:dyDescent="0.35">
      <c r="A364" s="2"/>
    </row>
    <row r="365" spans="1:1" x14ac:dyDescent="0.35">
      <c r="A365" s="2"/>
    </row>
    <row r="366" spans="1:1" x14ac:dyDescent="0.35">
      <c r="A366" s="2"/>
    </row>
    <row r="367" spans="1:1" x14ac:dyDescent="0.35">
      <c r="A367" s="2"/>
    </row>
    <row r="368" spans="1:1" x14ac:dyDescent="0.35">
      <c r="A368" s="2"/>
    </row>
    <row r="369" spans="1:1" x14ac:dyDescent="0.35">
      <c r="A369" s="2"/>
    </row>
    <row r="370" spans="1:1" x14ac:dyDescent="0.35">
      <c r="A370" s="2"/>
    </row>
    <row r="371" spans="1:1" x14ac:dyDescent="0.35">
      <c r="A371" s="2"/>
    </row>
    <row r="372" spans="1:1" x14ac:dyDescent="0.35">
      <c r="A372" s="2"/>
    </row>
    <row r="373" spans="1:1" x14ac:dyDescent="0.35">
      <c r="A373" s="2"/>
    </row>
    <row r="374" spans="1:1" x14ac:dyDescent="0.35">
      <c r="A374" s="2"/>
    </row>
    <row r="375" spans="1:1" x14ac:dyDescent="0.35">
      <c r="A375" s="2"/>
    </row>
    <row r="376" spans="1:1" x14ac:dyDescent="0.35">
      <c r="A376" s="2"/>
    </row>
    <row r="377" spans="1:1" x14ac:dyDescent="0.35">
      <c r="A377" s="2"/>
    </row>
    <row r="378" spans="1:1" x14ac:dyDescent="0.35">
      <c r="A378" s="2"/>
    </row>
    <row r="379" spans="1:1" x14ac:dyDescent="0.35">
      <c r="A379" s="2"/>
    </row>
    <row r="380" spans="1:1" x14ac:dyDescent="0.35">
      <c r="A380" s="2"/>
    </row>
    <row r="381" spans="1:1" x14ac:dyDescent="0.35">
      <c r="A381" s="2"/>
    </row>
    <row r="382" spans="1:1" x14ac:dyDescent="0.35">
      <c r="A382" s="2"/>
    </row>
    <row r="383" spans="1:1" x14ac:dyDescent="0.35">
      <c r="A383" s="2"/>
    </row>
    <row r="384" spans="1:1" x14ac:dyDescent="0.35">
      <c r="A384" s="2"/>
    </row>
    <row r="385" spans="1:1" x14ac:dyDescent="0.35">
      <c r="A385" s="2"/>
    </row>
    <row r="386" spans="1:1" x14ac:dyDescent="0.35">
      <c r="A386" s="2"/>
    </row>
    <row r="387" spans="1:1" x14ac:dyDescent="0.35">
      <c r="A387" s="2"/>
    </row>
    <row r="388" spans="1:1" x14ac:dyDescent="0.35">
      <c r="A388" s="2"/>
    </row>
    <row r="389" spans="1:1" x14ac:dyDescent="0.35">
      <c r="A389" s="2"/>
    </row>
    <row r="390" spans="1:1" x14ac:dyDescent="0.35">
      <c r="A390" s="2"/>
    </row>
    <row r="391" spans="1:1" x14ac:dyDescent="0.35">
      <c r="A391" s="2"/>
    </row>
    <row r="392" spans="1:1" x14ac:dyDescent="0.35">
      <c r="A392" s="2"/>
    </row>
    <row r="393" spans="1:1" x14ac:dyDescent="0.35">
      <c r="A393" s="2"/>
    </row>
    <row r="394" spans="1:1" x14ac:dyDescent="0.35">
      <c r="A394" s="2"/>
    </row>
    <row r="395" spans="1:1" x14ac:dyDescent="0.35">
      <c r="A395" s="2"/>
    </row>
    <row r="396" spans="1:1" x14ac:dyDescent="0.35">
      <c r="A396" s="2"/>
    </row>
    <row r="397" spans="1:1" x14ac:dyDescent="0.35">
      <c r="A397" s="2"/>
    </row>
    <row r="398" spans="1:1" x14ac:dyDescent="0.35">
      <c r="A398" s="2"/>
    </row>
    <row r="399" spans="1:1" x14ac:dyDescent="0.35">
      <c r="A399" s="2"/>
    </row>
    <row r="400" spans="1:1" x14ac:dyDescent="0.35">
      <c r="A400" s="2"/>
    </row>
    <row r="401" spans="1:1" x14ac:dyDescent="0.35">
      <c r="A401" s="2"/>
    </row>
    <row r="402" spans="1:1" x14ac:dyDescent="0.35">
      <c r="A402" s="2"/>
    </row>
    <row r="403" spans="1:1" x14ac:dyDescent="0.35">
      <c r="A403" s="2"/>
    </row>
    <row r="404" spans="1:1" x14ac:dyDescent="0.35">
      <c r="A404" s="2"/>
    </row>
    <row r="405" spans="1:1" x14ac:dyDescent="0.35">
      <c r="A405" s="2"/>
    </row>
    <row r="406" spans="1:1" x14ac:dyDescent="0.35">
      <c r="A406" s="2"/>
    </row>
    <row r="407" spans="1:1" x14ac:dyDescent="0.35">
      <c r="A407" s="2"/>
    </row>
    <row r="408" spans="1:1" x14ac:dyDescent="0.35">
      <c r="A408" s="2"/>
    </row>
    <row r="409" spans="1:1" x14ac:dyDescent="0.35">
      <c r="A409" s="2"/>
    </row>
    <row r="410" spans="1:1" x14ac:dyDescent="0.35">
      <c r="A410" s="2"/>
    </row>
    <row r="411" spans="1:1" x14ac:dyDescent="0.35">
      <c r="A411" s="2"/>
    </row>
    <row r="412" spans="1:1" x14ac:dyDescent="0.35">
      <c r="A412" s="2"/>
    </row>
    <row r="413" spans="1:1" x14ac:dyDescent="0.35">
      <c r="A413" s="2"/>
    </row>
    <row r="414" spans="1:1" x14ac:dyDescent="0.35">
      <c r="A414" s="2"/>
    </row>
    <row r="415" spans="1:1" x14ac:dyDescent="0.35">
      <c r="A415" s="2"/>
    </row>
    <row r="416" spans="1:1" x14ac:dyDescent="0.35">
      <c r="A416" s="2"/>
    </row>
    <row r="417" spans="1:1" x14ac:dyDescent="0.35">
      <c r="A417" s="2"/>
    </row>
    <row r="418" spans="1:1" x14ac:dyDescent="0.35">
      <c r="A418" s="2"/>
    </row>
    <row r="419" spans="1:1" x14ac:dyDescent="0.35">
      <c r="A419" s="2"/>
    </row>
    <row r="420" spans="1:1" x14ac:dyDescent="0.35">
      <c r="A420" s="2"/>
    </row>
    <row r="421" spans="1:1" x14ac:dyDescent="0.35">
      <c r="A421" s="2"/>
    </row>
    <row r="422" spans="1:1" x14ac:dyDescent="0.35">
      <c r="A422" s="2"/>
    </row>
    <row r="423" spans="1:1" x14ac:dyDescent="0.35">
      <c r="A423" s="2"/>
    </row>
    <row r="424" spans="1:1" x14ac:dyDescent="0.35">
      <c r="A424" s="2"/>
    </row>
    <row r="425" spans="1:1" x14ac:dyDescent="0.35">
      <c r="A425" s="2"/>
    </row>
    <row r="426" spans="1:1" x14ac:dyDescent="0.35">
      <c r="A426" s="2"/>
    </row>
    <row r="427" spans="1:1" x14ac:dyDescent="0.35">
      <c r="A427" s="2"/>
    </row>
    <row r="428" spans="1:1" x14ac:dyDescent="0.35">
      <c r="A428" s="2"/>
    </row>
    <row r="429" spans="1:1" x14ac:dyDescent="0.35">
      <c r="A429" s="2"/>
    </row>
    <row r="430" spans="1:1" x14ac:dyDescent="0.35">
      <c r="A430" s="2"/>
    </row>
    <row r="431" spans="1:1" x14ac:dyDescent="0.35">
      <c r="A431" s="2"/>
    </row>
    <row r="432" spans="1:1" x14ac:dyDescent="0.35">
      <c r="A432" s="2"/>
    </row>
    <row r="433" spans="1:1" x14ac:dyDescent="0.35">
      <c r="A433" s="2"/>
    </row>
    <row r="434" spans="1:1" x14ac:dyDescent="0.35">
      <c r="A434" s="2"/>
    </row>
    <row r="435" spans="1:1" x14ac:dyDescent="0.35">
      <c r="A435" s="2"/>
    </row>
    <row r="436" spans="1:1" x14ac:dyDescent="0.35">
      <c r="A436" s="2"/>
    </row>
    <row r="437" spans="1:1" x14ac:dyDescent="0.35">
      <c r="A437" s="2"/>
    </row>
    <row r="438" spans="1:1" x14ac:dyDescent="0.35">
      <c r="A438" s="2"/>
    </row>
    <row r="439" spans="1:1" x14ac:dyDescent="0.35">
      <c r="A439" s="2"/>
    </row>
    <row r="440" spans="1:1" x14ac:dyDescent="0.35">
      <c r="A440" s="2"/>
    </row>
    <row r="441" spans="1:1" x14ac:dyDescent="0.35">
      <c r="A441" s="2"/>
    </row>
    <row r="442" spans="1:1" x14ac:dyDescent="0.35">
      <c r="A442" s="2"/>
    </row>
    <row r="443" spans="1:1" x14ac:dyDescent="0.35">
      <c r="A443" s="2"/>
    </row>
    <row r="444" spans="1:1" x14ac:dyDescent="0.35">
      <c r="A444" s="2"/>
    </row>
    <row r="445" spans="1:1" x14ac:dyDescent="0.35">
      <c r="A445" s="2"/>
    </row>
    <row r="446" spans="1:1" x14ac:dyDescent="0.35">
      <c r="A446" s="2"/>
    </row>
    <row r="447" spans="1:1" x14ac:dyDescent="0.35">
      <c r="A447" s="2"/>
    </row>
    <row r="448" spans="1:1" x14ac:dyDescent="0.35">
      <c r="A448" s="2"/>
    </row>
    <row r="449" spans="1:1" x14ac:dyDescent="0.35">
      <c r="A449" s="2"/>
    </row>
    <row r="450" spans="1:1" x14ac:dyDescent="0.35">
      <c r="A450" s="2"/>
    </row>
    <row r="451" spans="1:1" x14ac:dyDescent="0.35">
      <c r="A451" s="2"/>
    </row>
    <row r="452" spans="1:1" x14ac:dyDescent="0.35">
      <c r="A452" s="2"/>
    </row>
    <row r="453" spans="1:1" x14ac:dyDescent="0.35">
      <c r="A453" s="2"/>
    </row>
    <row r="454" spans="1:1" x14ac:dyDescent="0.35">
      <c r="A454" s="2"/>
    </row>
    <row r="455" spans="1:1" x14ac:dyDescent="0.35">
      <c r="A455" s="2"/>
    </row>
    <row r="456" spans="1:1" x14ac:dyDescent="0.35">
      <c r="A456" s="2"/>
    </row>
    <row r="457" spans="1:1" x14ac:dyDescent="0.35">
      <c r="A457" s="2"/>
    </row>
    <row r="458" spans="1:1" x14ac:dyDescent="0.35">
      <c r="A458" s="2"/>
    </row>
    <row r="459" spans="1:1" x14ac:dyDescent="0.35">
      <c r="A459" s="2"/>
    </row>
    <row r="460" spans="1:1" x14ac:dyDescent="0.35">
      <c r="A460" s="2"/>
    </row>
    <row r="461" spans="1:1" x14ac:dyDescent="0.35">
      <c r="A461" s="2"/>
    </row>
    <row r="462" spans="1:1" x14ac:dyDescent="0.35">
      <c r="A462" s="2"/>
    </row>
    <row r="463" spans="1:1" x14ac:dyDescent="0.35">
      <c r="A463" s="2"/>
    </row>
    <row r="464" spans="1:1" x14ac:dyDescent="0.35">
      <c r="A464" s="2"/>
    </row>
    <row r="465" spans="1:1" x14ac:dyDescent="0.35">
      <c r="A465" s="2"/>
    </row>
    <row r="466" spans="1:1" x14ac:dyDescent="0.35">
      <c r="A466" s="2"/>
    </row>
    <row r="467" spans="1:1" x14ac:dyDescent="0.35">
      <c r="A467" s="2"/>
    </row>
    <row r="468" spans="1:1" x14ac:dyDescent="0.35">
      <c r="A468" s="2"/>
    </row>
    <row r="469" spans="1:1" x14ac:dyDescent="0.35">
      <c r="A469" s="2"/>
    </row>
    <row r="470" spans="1:1" x14ac:dyDescent="0.35">
      <c r="A470" s="2"/>
    </row>
    <row r="471" spans="1:1" x14ac:dyDescent="0.35">
      <c r="A471" s="2"/>
    </row>
    <row r="472" spans="1:1" x14ac:dyDescent="0.35">
      <c r="A472" s="2"/>
    </row>
    <row r="473" spans="1:1" x14ac:dyDescent="0.35">
      <c r="A473" s="2"/>
    </row>
    <row r="474" spans="1:1" x14ac:dyDescent="0.35">
      <c r="A474" s="2"/>
    </row>
    <row r="475" spans="1:1" x14ac:dyDescent="0.35">
      <c r="A475" s="2"/>
    </row>
    <row r="476" spans="1:1" x14ac:dyDescent="0.35">
      <c r="A476" s="2"/>
    </row>
    <row r="477" spans="1:1" x14ac:dyDescent="0.35">
      <c r="A477" s="2"/>
    </row>
    <row r="478" spans="1:1" x14ac:dyDescent="0.35">
      <c r="A478" s="2"/>
    </row>
    <row r="479" spans="1:1" x14ac:dyDescent="0.35">
      <c r="A479" s="2"/>
    </row>
    <row r="480" spans="1:1" x14ac:dyDescent="0.35">
      <c r="A480" s="2"/>
    </row>
    <row r="481" spans="1:1" x14ac:dyDescent="0.35">
      <c r="A481" s="2"/>
    </row>
    <row r="482" spans="1:1" x14ac:dyDescent="0.35">
      <c r="A482" s="2"/>
    </row>
    <row r="483" spans="1:1" x14ac:dyDescent="0.35">
      <c r="A483" s="2"/>
    </row>
    <row r="484" spans="1:1" x14ac:dyDescent="0.35">
      <c r="A484" s="2"/>
    </row>
    <row r="485" spans="1:1" x14ac:dyDescent="0.35">
      <c r="A485" s="2"/>
    </row>
    <row r="486" spans="1:1" x14ac:dyDescent="0.35">
      <c r="A486" s="2"/>
    </row>
    <row r="487" spans="1:1" x14ac:dyDescent="0.35">
      <c r="A487" s="2"/>
    </row>
    <row r="488" spans="1:1" x14ac:dyDescent="0.35">
      <c r="A488" s="2"/>
    </row>
    <row r="489" spans="1:1" x14ac:dyDescent="0.35">
      <c r="A489" s="2"/>
    </row>
    <row r="490" spans="1:1" x14ac:dyDescent="0.35">
      <c r="A490" s="2"/>
    </row>
    <row r="491" spans="1:1" x14ac:dyDescent="0.35">
      <c r="A491" s="2"/>
    </row>
    <row r="492" spans="1:1" x14ac:dyDescent="0.35">
      <c r="A492" s="2"/>
    </row>
    <row r="493" spans="1:1" x14ac:dyDescent="0.35">
      <c r="A493" s="2"/>
    </row>
    <row r="494" spans="1:1" x14ac:dyDescent="0.35">
      <c r="A494" s="2"/>
    </row>
    <row r="495" spans="1:1" x14ac:dyDescent="0.35">
      <c r="A495" s="2"/>
    </row>
    <row r="496" spans="1:1" x14ac:dyDescent="0.35">
      <c r="A496" s="2"/>
    </row>
    <row r="497" spans="1:1" x14ac:dyDescent="0.35">
      <c r="A497" s="2"/>
    </row>
    <row r="498" spans="1:1" x14ac:dyDescent="0.35">
      <c r="A498" s="2"/>
    </row>
    <row r="499" spans="1:1" x14ac:dyDescent="0.35">
      <c r="A499" s="2"/>
    </row>
    <row r="500" spans="1:1" x14ac:dyDescent="0.35">
      <c r="A500" s="2"/>
    </row>
    <row r="501" spans="1:1" x14ac:dyDescent="0.35">
      <c r="A501" s="2"/>
    </row>
    <row r="502" spans="1:1" x14ac:dyDescent="0.35">
      <c r="A502" s="2"/>
    </row>
    <row r="503" spans="1:1" x14ac:dyDescent="0.35">
      <c r="A503" s="2"/>
    </row>
    <row r="504" spans="1:1" x14ac:dyDescent="0.35">
      <c r="A504" s="2"/>
    </row>
    <row r="505" spans="1:1" x14ac:dyDescent="0.35">
      <c r="A505" s="2"/>
    </row>
    <row r="506" spans="1:1" x14ac:dyDescent="0.35">
      <c r="A506" s="2"/>
    </row>
    <row r="507" spans="1:1" x14ac:dyDescent="0.35">
      <c r="A507" s="2"/>
    </row>
    <row r="508" spans="1:1" x14ac:dyDescent="0.35">
      <c r="A508" s="2"/>
    </row>
    <row r="509" spans="1:1" x14ac:dyDescent="0.35">
      <c r="A509" s="2"/>
    </row>
    <row r="510" spans="1:1" x14ac:dyDescent="0.35">
      <c r="A510" s="2"/>
    </row>
    <row r="511" spans="1:1" x14ac:dyDescent="0.35">
      <c r="A511" s="2"/>
    </row>
    <row r="512" spans="1:1" x14ac:dyDescent="0.35">
      <c r="A512" s="2"/>
    </row>
    <row r="513" spans="1:1" x14ac:dyDescent="0.35">
      <c r="A513" s="2"/>
    </row>
    <row r="514" spans="1:1" x14ac:dyDescent="0.35">
      <c r="A514" s="2"/>
    </row>
    <row r="515" spans="1:1" x14ac:dyDescent="0.35">
      <c r="A515" s="2"/>
    </row>
    <row r="516" spans="1:1" x14ac:dyDescent="0.35">
      <c r="A516" s="2"/>
    </row>
    <row r="517" spans="1:1" x14ac:dyDescent="0.35">
      <c r="A517" s="2"/>
    </row>
    <row r="518" spans="1:1" x14ac:dyDescent="0.35">
      <c r="A518" s="2"/>
    </row>
    <row r="519" spans="1:1" x14ac:dyDescent="0.35">
      <c r="A519" s="2"/>
    </row>
    <row r="520" spans="1:1" x14ac:dyDescent="0.35">
      <c r="A520" s="2"/>
    </row>
    <row r="521" spans="1:1" x14ac:dyDescent="0.35">
      <c r="A521" s="2"/>
    </row>
    <row r="522" spans="1:1" x14ac:dyDescent="0.35">
      <c r="A522" s="2"/>
    </row>
    <row r="523" spans="1:1" x14ac:dyDescent="0.35">
      <c r="A523" s="2"/>
    </row>
    <row r="524" spans="1:1" x14ac:dyDescent="0.35">
      <c r="A524" s="2"/>
    </row>
    <row r="525" spans="1:1" x14ac:dyDescent="0.35">
      <c r="A525" s="2"/>
    </row>
    <row r="526" spans="1:1" x14ac:dyDescent="0.35">
      <c r="A526" s="2"/>
    </row>
    <row r="527" spans="1:1" x14ac:dyDescent="0.35">
      <c r="A527" s="2"/>
    </row>
    <row r="528" spans="1:1" x14ac:dyDescent="0.35">
      <c r="A528" s="2"/>
    </row>
    <row r="529" spans="1:1" x14ac:dyDescent="0.35">
      <c r="A529" s="2"/>
    </row>
    <row r="530" spans="1:1" x14ac:dyDescent="0.35">
      <c r="A530" s="2"/>
    </row>
    <row r="531" spans="1:1" x14ac:dyDescent="0.35">
      <c r="A531" s="2"/>
    </row>
    <row r="532" spans="1:1" x14ac:dyDescent="0.35">
      <c r="A532" s="2"/>
    </row>
    <row r="533" spans="1:1" x14ac:dyDescent="0.35">
      <c r="A533" s="2"/>
    </row>
    <row r="534" spans="1:1" x14ac:dyDescent="0.35">
      <c r="A534" s="2"/>
    </row>
    <row r="535" spans="1:1" x14ac:dyDescent="0.35">
      <c r="A535" s="2"/>
    </row>
    <row r="536" spans="1:1" x14ac:dyDescent="0.35">
      <c r="A536" s="2"/>
    </row>
    <row r="537" spans="1:1" x14ac:dyDescent="0.35">
      <c r="A537" s="2"/>
    </row>
    <row r="538" spans="1:1" x14ac:dyDescent="0.35">
      <c r="A538" s="2"/>
    </row>
    <row r="539" spans="1:1" x14ac:dyDescent="0.35">
      <c r="A539" s="2"/>
    </row>
    <row r="540" spans="1:1" x14ac:dyDescent="0.35">
      <c r="A540" s="2"/>
    </row>
    <row r="541" spans="1:1" x14ac:dyDescent="0.35">
      <c r="A541" s="2"/>
    </row>
    <row r="542" spans="1:1" x14ac:dyDescent="0.35">
      <c r="A542" s="2"/>
    </row>
    <row r="543" spans="1:1" x14ac:dyDescent="0.35">
      <c r="A543" s="2"/>
    </row>
    <row r="544" spans="1:1" x14ac:dyDescent="0.35">
      <c r="A544" s="2"/>
    </row>
    <row r="545" spans="1:1" x14ac:dyDescent="0.35">
      <c r="A545" s="2"/>
    </row>
    <row r="546" spans="1:1" x14ac:dyDescent="0.35">
      <c r="A546" s="2"/>
    </row>
    <row r="547" spans="1:1" x14ac:dyDescent="0.35">
      <c r="A547" s="2"/>
    </row>
    <row r="548" spans="1:1" x14ac:dyDescent="0.35">
      <c r="A548" s="2"/>
    </row>
    <row r="549" spans="1:1" x14ac:dyDescent="0.35">
      <c r="A549" s="2"/>
    </row>
    <row r="550" spans="1:1" x14ac:dyDescent="0.35">
      <c r="A550" s="2"/>
    </row>
    <row r="551" spans="1:1" x14ac:dyDescent="0.35">
      <c r="A551" s="2"/>
    </row>
    <row r="552" spans="1:1" x14ac:dyDescent="0.35">
      <c r="A552" s="2"/>
    </row>
    <row r="553" spans="1:1" x14ac:dyDescent="0.35">
      <c r="A553" s="2"/>
    </row>
    <row r="554" spans="1:1" x14ac:dyDescent="0.35">
      <c r="A554" s="2"/>
    </row>
    <row r="555" spans="1:1" x14ac:dyDescent="0.35">
      <c r="A555" s="2"/>
    </row>
    <row r="556" spans="1:1" x14ac:dyDescent="0.35">
      <c r="A556" s="2"/>
    </row>
    <row r="557" spans="1:1" x14ac:dyDescent="0.35">
      <c r="A557" s="2"/>
    </row>
    <row r="558" spans="1:1" x14ac:dyDescent="0.35">
      <c r="A558" s="2"/>
    </row>
    <row r="559" spans="1:1" x14ac:dyDescent="0.35">
      <c r="A559" s="2"/>
    </row>
    <row r="560" spans="1:1" x14ac:dyDescent="0.35">
      <c r="A560" s="2"/>
    </row>
    <row r="561" spans="1:1" x14ac:dyDescent="0.35">
      <c r="A561" s="2"/>
    </row>
    <row r="562" spans="1:1" x14ac:dyDescent="0.35">
      <c r="A562" s="2"/>
    </row>
    <row r="563" spans="1:1" x14ac:dyDescent="0.35">
      <c r="A563" s="2"/>
    </row>
    <row r="564" spans="1:1" x14ac:dyDescent="0.35">
      <c r="A564" s="2"/>
    </row>
    <row r="565" spans="1:1" x14ac:dyDescent="0.35">
      <c r="A565" s="2"/>
    </row>
    <row r="566" spans="1:1" x14ac:dyDescent="0.35">
      <c r="A566" s="2"/>
    </row>
    <row r="567" spans="1:1" x14ac:dyDescent="0.35">
      <c r="A567" s="2"/>
    </row>
    <row r="568" spans="1:1" x14ac:dyDescent="0.35">
      <c r="A568" s="2"/>
    </row>
    <row r="569" spans="1:1" x14ac:dyDescent="0.35">
      <c r="A569" s="2"/>
    </row>
    <row r="570" spans="1:1" x14ac:dyDescent="0.35">
      <c r="A570" s="2"/>
    </row>
    <row r="571" spans="1:1" x14ac:dyDescent="0.35">
      <c r="A571" s="2"/>
    </row>
    <row r="572" spans="1:1" x14ac:dyDescent="0.35">
      <c r="A572" s="2"/>
    </row>
    <row r="573" spans="1:1" x14ac:dyDescent="0.35">
      <c r="A573" s="2"/>
    </row>
    <row r="574" spans="1:1" x14ac:dyDescent="0.35">
      <c r="A574" s="2"/>
    </row>
    <row r="575" spans="1:1" x14ac:dyDescent="0.35">
      <c r="A575" s="2"/>
    </row>
    <row r="576" spans="1:1" x14ac:dyDescent="0.35">
      <c r="A576" s="2"/>
    </row>
    <row r="577" spans="1:1" x14ac:dyDescent="0.35">
      <c r="A577" s="2"/>
    </row>
    <row r="578" spans="1:1" x14ac:dyDescent="0.35">
      <c r="A578" s="2"/>
    </row>
    <row r="579" spans="1:1" x14ac:dyDescent="0.35">
      <c r="A579" s="2"/>
    </row>
    <row r="580" spans="1:1" x14ac:dyDescent="0.35">
      <c r="A580" s="2"/>
    </row>
    <row r="581" spans="1:1" x14ac:dyDescent="0.35">
      <c r="A581" s="2"/>
    </row>
    <row r="582" spans="1:1" x14ac:dyDescent="0.35">
      <c r="A582" s="2"/>
    </row>
    <row r="583" spans="1:1" x14ac:dyDescent="0.35">
      <c r="A583" s="2"/>
    </row>
    <row r="584" spans="1:1" x14ac:dyDescent="0.35">
      <c r="A584" s="2"/>
    </row>
    <row r="585" spans="1:1" x14ac:dyDescent="0.35">
      <c r="A585" s="2"/>
    </row>
    <row r="586" spans="1:1" x14ac:dyDescent="0.35">
      <c r="A586" s="2"/>
    </row>
    <row r="587" spans="1:1" x14ac:dyDescent="0.35">
      <c r="A587" s="2"/>
    </row>
    <row r="588" spans="1:1" x14ac:dyDescent="0.35">
      <c r="A588" s="2"/>
    </row>
    <row r="589" spans="1:1" x14ac:dyDescent="0.35">
      <c r="A589" s="2"/>
    </row>
    <row r="590" spans="1:1" x14ac:dyDescent="0.35">
      <c r="A590" s="2"/>
    </row>
    <row r="591" spans="1:1" x14ac:dyDescent="0.35">
      <c r="A591" s="2"/>
    </row>
    <row r="592" spans="1:1" x14ac:dyDescent="0.35">
      <c r="A592" s="2"/>
    </row>
    <row r="593" spans="1:1" x14ac:dyDescent="0.35">
      <c r="A593" s="2"/>
    </row>
    <row r="594" spans="1:1" x14ac:dyDescent="0.35">
      <c r="A594" s="2"/>
    </row>
    <row r="595" spans="1:1" x14ac:dyDescent="0.35">
      <c r="A595" s="2"/>
    </row>
    <row r="596" spans="1:1" x14ac:dyDescent="0.35">
      <c r="A596" s="2"/>
    </row>
    <row r="597" spans="1:1" x14ac:dyDescent="0.35">
      <c r="A597" s="2"/>
    </row>
    <row r="598" spans="1:1" x14ac:dyDescent="0.35">
      <c r="A598" s="2"/>
    </row>
    <row r="599" spans="1:1" x14ac:dyDescent="0.35">
      <c r="A599" s="2"/>
    </row>
    <row r="600" spans="1:1" x14ac:dyDescent="0.35">
      <c r="A600" s="2"/>
    </row>
    <row r="601" spans="1:1" x14ac:dyDescent="0.35">
      <c r="A601" s="2"/>
    </row>
    <row r="602" spans="1:1" x14ac:dyDescent="0.35">
      <c r="A602" s="2"/>
    </row>
    <row r="603" spans="1:1" x14ac:dyDescent="0.35">
      <c r="A603" s="2"/>
    </row>
    <row r="604" spans="1:1" x14ac:dyDescent="0.35">
      <c r="A604" s="2"/>
    </row>
    <row r="605" spans="1:1" x14ac:dyDescent="0.35">
      <c r="A605" s="2"/>
    </row>
    <row r="606" spans="1:1" x14ac:dyDescent="0.35">
      <c r="A606" s="2"/>
    </row>
    <row r="607" spans="1:1" x14ac:dyDescent="0.35">
      <c r="A607" s="2"/>
    </row>
    <row r="608" spans="1:1" x14ac:dyDescent="0.35">
      <c r="A608" s="2"/>
    </row>
    <row r="609" spans="1:1" x14ac:dyDescent="0.35">
      <c r="A609" s="2"/>
    </row>
    <row r="610" spans="1:1" x14ac:dyDescent="0.35">
      <c r="A610" s="2"/>
    </row>
    <row r="611" spans="1:1" x14ac:dyDescent="0.35">
      <c r="A611" s="2"/>
    </row>
    <row r="612" spans="1:1" x14ac:dyDescent="0.35">
      <c r="A612" s="2"/>
    </row>
    <row r="613" spans="1:1" x14ac:dyDescent="0.35">
      <c r="A613" s="2"/>
    </row>
    <row r="614" spans="1:1" x14ac:dyDescent="0.35">
      <c r="A614" s="2"/>
    </row>
    <row r="615" spans="1:1" x14ac:dyDescent="0.35">
      <c r="A615" s="2"/>
    </row>
    <row r="616" spans="1:1" x14ac:dyDescent="0.35">
      <c r="A616" s="2"/>
    </row>
    <row r="617" spans="1:1" x14ac:dyDescent="0.35">
      <c r="A617" s="2"/>
    </row>
    <row r="618" spans="1:1" x14ac:dyDescent="0.35">
      <c r="A618" s="2"/>
    </row>
    <row r="619" spans="1:1" x14ac:dyDescent="0.35">
      <c r="A619" s="2"/>
    </row>
    <row r="620" spans="1:1" x14ac:dyDescent="0.35">
      <c r="A620" s="2"/>
    </row>
    <row r="621" spans="1:1" x14ac:dyDescent="0.35">
      <c r="A621" s="2"/>
    </row>
    <row r="622" spans="1:1" x14ac:dyDescent="0.35">
      <c r="A622" s="2"/>
    </row>
    <row r="623" spans="1:1" x14ac:dyDescent="0.35">
      <c r="A623" s="2"/>
    </row>
    <row r="624" spans="1:1" x14ac:dyDescent="0.35">
      <c r="A624" s="2"/>
    </row>
    <row r="625" spans="1:1" x14ac:dyDescent="0.35">
      <c r="A625" s="2"/>
    </row>
    <row r="626" spans="1:1" x14ac:dyDescent="0.35">
      <c r="A626" s="2"/>
    </row>
    <row r="627" spans="1:1" x14ac:dyDescent="0.35">
      <c r="A627" s="2"/>
    </row>
    <row r="628" spans="1:1" x14ac:dyDescent="0.35">
      <c r="A628" s="2"/>
    </row>
    <row r="629" spans="1:1" x14ac:dyDescent="0.35">
      <c r="A629" s="2"/>
    </row>
    <row r="630" spans="1:1" x14ac:dyDescent="0.35">
      <c r="A630" s="2"/>
    </row>
    <row r="631" spans="1:1" x14ac:dyDescent="0.35">
      <c r="A631" s="2"/>
    </row>
    <row r="632" spans="1:1" x14ac:dyDescent="0.35">
      <c r="A632" s="2"/>
    </row>
    <row r="633" spans="1:1" x14ac:dyDescent="0.35">
      <c r="A633" s="2"/>
    </row>
    <row r="634" spans="1:1" x14ac:dyDescent="0.35">
      <c r="A634" s="2"/>
    </row>
    <row r="635" spans="1:1" x14ac:dyDescent="0.35">
      <c r="A635" s="2"/>
    </row>
    <row r="636" spans="1:1" x14ac:dyDescent="0.35">
      <c r="A636" s="2"/>
    </row>
    <row r="637" spans="1:1" x14ac:dyDescent="0.35">
      <c r="A637" s="2"/>
    </row>
    <row r="638" spans="1:1" x14ac:dyDescent="0.35">
      <c r="A638" s="2"/>
    </row>
    <row r="639" spans="1:1" x14ac:dyDescent="0.35">
      <c r="A639" s="2"/>
    </row>
    <row r="640" spans="1:1" x14ac:dyDescent="0.35">
      <c r="A640" s="2"/>
    </row>
    <row r="641" spans="1:1" x14ac:dyDescent="0.35">
      <c r="A641" s="2"/>
    </row>
    <row r="642" spans="1:1" x14ac:dyDescent="0.35">
      <c r="A642" s="2"/>
    </row>
    <row r="643" spans="1:1" x14ac:dyDescent="0.35">
      <c r="A643" s="2"/>
    </row>
    <row r="644" spans="1:1" x14ac:dyDescent="0.35">
      <c r="A644" s="2"/>
    </row>
    <row r="645" spans="1:1" x14ac:dyDescent="0.35">
      <c r="A645" s="2"/>
    </row>
    <row r="646" spans="1:1" x14ac:dyDescent="0.35">
      <c r="A646" s="2"/>
    </row>
    <row r="647" spans="1:1" x14ac:dyDescent="0.35">
      <c r="A647" s="2"/>
    </row>
    <row r="648" spans="1:1" x14ac:dyDescent="0.35">
      <c r="A648" s="2"/>
    </row>
    <row r="649" spans="1:1" x14ac:dyDescent="0.35">
      <c r="A649" s="2"/>
    </row>
    <row r="650" spans="1:1" x14ac:dyDescent="0.35">
      <c r="A650" s="2"/>
    </row>
    <row r="651" spans="1:1" x14ac:dyDescent="0.35">
      <c r="A651" s="2"/>
    </row>
    <row r="652" spans="1:1" x14ac:dyDescent="0.35">
      <c r="A652" s="2"/>
    </row>
    <row r="653" spans="1:1" x14ac:dyDescent="0.35">
      <c r="A653" s="2"/>
    </row>
    <row r="654" spans="1:1" x14ac:dyDescent="0.35">
      <c r="A654" s="2"/>
    </row>
    <row r="655" spans="1:1" x14ac:dyDescent="0.35">
      <c r="A655" s="2"/>
    </row>
    <row r="656" spans="1:1" x14ac:dyDescent="0.35">
      <c r="A656" s="2"/>
    </row>
    <row r="657" spans="1:1" x14ac:dyDescent="0.35">
      <c r="A657" s="2"/>
    </row>
    <row r="658" spans="1:1" x14ac:dyDescent="0.35">
      <c r="A658" s="2"/>
    </row>
    <row r="659" spans="1:1" x14ac:dyDescent="0.35">
      <c r="A659" s="2"/>
    </row>
    <row r="660" spans="1:1" x14ac:dyDescent="0.35">
      <c r="A660" s="2"/>
    </row>
    <row r="661" spans="1:1" x14ac:dyDescent="0.35">
      <c r="A661" s="2"/>
    </row>
    <row r="662" spans="1:1" x14ac:dyDescent="0.35">
      <c r="A662" s="2"/>
    </row>
    <row r="663" spans="1:1" x14ac:dyDescent="0.35">
      <c r="A663" s="2"/>
    </row>
    <row r="664" spans="1:1" x14ac:dyDescent="0.35">
      <c r="A664" s="2"/>
    </row>
    <row r="665" spans="1:1" x14ac:dyDescent="0.35">
      <c r="A665" s="2"/>
    </row>
    <row r="666" spans="1:1" x14ac:dyDescent="0.35">
      <c r="A666" s="2"/>
    </row>
    <row r="667" spans="1:1" x14ac:dyDescent="0.35">
      <c r="A667" s="2"/>
    </row>
    <row r="668" spans="1:1" x14ac:dyDescent="0.35">
      <c r="A668" s="2"/>
    </row>
    <row r="669" spans="1:1" x14ac:dyDescent="0.35">
      <c r="A669" s="2"/>
    </row>
    <row r="670" spans="1:1" x14ac:dyDescent="0.35">
      <c r="A670" s="2"/>
    </row>
    <row r="671" spans="1:1" x14ac:dyDescent="0.35">
      <c r="A671" s="2"/>
    </row>
    <row r="672" spans="1:1" x14ac:dyDescent="0.35">
      <c r="A672" s="2"/>
    </row>
    <row r="673" spans="1:1" x14ac:dyDescent="0.35">
      <c r="A673" s="2"/>
    </row>
    <row r="674" spans="1:1" x14ac:dyDescent="0.35">
      <c r="A674" s="2"/>
    </row>
    <row r="675" spans="1:1" x14ac:dyDescent="0.35">
      <c r="A675" s="2"/>
    </row>
    <row r="676" spans="1:1" x14ac:dyDescent="0.35">
      <c r="A676" s="2"/>
    </row>
    <row r="677" spans="1:1" x14ac:dyDescent="0.35">
      <c r="A677" s="2"/>
    </row>
    <row r="678" spans="1:1" x14ac:dyDescent="0.35">
      <c r="A678" s="2"/>
    </row>
    <row r="679" spans="1:1" x14ac:dyDescent="0.35">
      <c r="A679" s="2"/>
    </row>
    <row r="680" spans="1:1" x14ac:dyDescent="0.35">
      <c r="A680" s="2"/>
    </row>
    <row r="681" spans="1:1" x14ac:dyDescent="0.35">
      <c r="A681" s="2"/>
    </row>
    <row r="682" spans="1:1" x14ac:dyDescent="0.35">
      <c r="A682" s="2"/>
    </row>
    <row r="683" spans="1:1" x14ac:dyDescent="0.35">
      <c r="A683" s="2"/>
    </row>
    <row r="684" spans="1:1" x14ac:dyDescent="0.35">
      <c r="A684" s="2"/>
    </row>
    <row r="685" spans="1:1" x14ac:dyDescent="0.35">
      <c r="A685" s="2"/>
    </row>
    <row r="686" spans="1:1" x14ac:dyDescent="0.35">
      <c r="A686" s="2"/>
    </row>
    <row r="687" spans="1:1" x14ac:dyDescent="0.35">
      <c r="A687" s="2"/>
    </row>
    <row r="688" spans="1:1" x14ac:dyDescent="0.35">
      <c r="A688" s="2"/>
    </row>
    <row r="689" spans="1:1" x14ac:dyDescent="0.35">
      <c r="A689" s="2"/>
    </row>
    <row r="690" spans="1:1" x14ac:dyDescent="0.35">
      <c r="A690" s="2"/>
    </row>
    <row r="691" spans="1:1" x14ac:dyDescent="0.35">
      <c r="A691" s="2"/>
    </row>
    <row r="692" spans="1:1" x14ac:dyDescent="0.35">
      <c r="A692" s="2"/>
    </row>
    <row r="693" spans="1:1" x14ac:dyDescent="0.35">
      <c r="A693" s="2"/>
    </row>
    <row r="694" spans="1:1" x14ac:dyDescent="0.35">
      <c r="A694" s="2"/>
    </row>
    <row r="695" spans="1:1" x14ac:dyDescent="0.35">
      <c r="A695" s="2"/>
    </row>
    <row r="696" spans="1:1" x14ac:dyDescent="0.35">
      <c r="A696" s="2"/>
    </row>
    <row r="697" spans="1:1" x14ac:dyDescent="0.35">
      <c r="A697" s="2"/>
    </row>
    <row r="698" spans="1:1" x14ac:dyDescent="0.35">
      <c r="A698" s="2"/>
    </row>
    <row r="699" spans="1:1" x14ac:dyDescent="0.35">
      <c r="A699" s="2"/>
    </row>
    <row r="700" spans="1:1" x14ac:dyDescent="0.35">
      <c r="A700" s="2"/>
    </row>
    <row r="701" spans="1:1" x14ac:dyDescent="0.35">
      <c r="A701" s="2"/>
    </row>
    <row r="702" spans="1:1" x14ac:dyDescent="0.35">
      <c r="A702" s="2"/>
    </row>
    <row r="703" spans="1:1" x14ac:dyDescent="0.35">
      <c r="A703" s="2"/>
    </row>
    <row r="704" spans="1:1" x14ac:dyDescent="0.35">
      <c r="A704" s="2"/>
    </row>
    <row r="705" spans="1:1" x14ac:dyDescent="0.35">
      <c r="A705" s="2"/>
    </row>
    <row r="706" spans="1:1" x14ac:dyDescent="0.35">
      <c r="A706" s="2"/>
    </row>
    <row r="707" spans="1:1" x14ac:dyDescent="0.35">
      <c r="A707" s="2"/>
    </row>
    <row r="708" spans="1:1" x14ac:dyDescent="0.35">
      <c r="A708" s="2"/>
    </row>
    <row r="709" spans="1:1" x14ac:dyDescent="0.35">
      <c r="A709" s="2"/>
    </row>
    <row r="710" spans="1:1" x14ac:dyDescent="0.35">
      <c r="A710" s="2"/>
    </row>
    <row r="711" spans="1:1" x14ac:dyDescent="0.35">
      <c r="A711" s="2"/>
    </row>
    <row r="712" spans="1:1" x14ac:dyDescent="0.35">
      <c r="A712" s="2"/>
    </row>
    <row r="713" spans="1:1" x14ac:dyDescent="0.35">
      <c r="A713" s="2"/>
    </row>
    <row r="714" spans="1:1" x14ac:dyDescent="0.35">
      <c r="A714" s="2"/>
    </row>
    <row r="715" spans="1:1" x14ac:dyDescent="0.35">
      <c r="A715" s="2"/>
    </row>
    <row r="716" spans="1:1" x14ac:dyDescent="0.35">
      <c r="A716" s="2"/>
    </row>
    <row r="717" spans="1:1" x14ac:dyDescent="0.35">
      <c r="A717" s="2"/>
    </row>
    <row r="718" spans="1:1" x14ac:dyDescent="0.35">
      <c r="A718" s="2"/>
    </row>
    <row r="719" spans="1:1" x14ac:dyDescent="0.35">
      <c r="A719" s="2"/>
    </row>
    <row r="720" spans="1:1" x14ac:dyDescent="0.35">
      <c r="A720" s="2"/>
    </row>
    <row r="721" spans="1:1" x14ac:dyDescent="0.35">
      <c r="A721" s="2"/>
    </row>
    <row r="722" spans="1:1" x14ac:dyDescent="0.35">
      <c r="A722" s="2"/>
    </row>
    <row r="723" spans="1:1" x14ac:dyDescent="0.35">
      <c r="A723" s="2"/>
    </row>
    <row r="724" spans="1:1" x14ac:dyDescent="0.35">
      <c r="A724" s="2"/>
    </row>
    <row r="725" spans="1:1" x14ac:dyDescent="0.35">
      <c r="A725" s="2"/>
    </row>
    <row r="726" spans="1:1" x14ac:dyDescent="0.35">
      <c r="A726" s="2"/>
    </row>
    <row r="727" spans="1:1" x14ac:dyDescent="0.35">
      <c r="A727" s="2"/>
    </row>
    <row r="728" spans="1:1" x14ac:dyDescent="0.35">
      <c r="A728" s="2"/>
    </row>
    <row r="729" spans="1:1" x14ac:dyDescent="0.35">
      <c r="A729" s="2"/>
    </row>
    <row r="730" spans="1:1" x14ac:dyDescent="0.35">
      <c r="A730" s="2"/>
    </row>
    <row r="731" spans="1:1" x14ac:dyDescent="0.35">
      <c r="A731" s="2"/>
    </row>
    <row r="732" spans="1:1" x14ac:dyDescent="0.35">
      <c r="A732" s="2"/>
    </row>
    <row r="733" spans="1:1" x14ac:dyDescent="0.35">
      <c r="A733" s="2"/>
    </row>
    <row r="734" spans="1:1" x14ac:dyDescent="0.35">
      <c r="A734" s="2"/>
    </row>
    <row r="735" spans="1:1" x14ac:dyDescent="0.35">
      <c r="A735" s="2"/>
    </row>
    <row r="736" spans="1:1" x14ac:dyDescent="0.35">
      <c r="A736" s="2"/>
    </row>
    <row r="737" spans="1:1" x14ac:dyDescent="0.35">
      <c r="A737" s="2"/>
    </row>
    <row r="738" spans="1:1" x14ac:dyDescent="0.35">
      <c r="A738" s="2"/>
    </row>
    <row r="739" spans="1:1" x14ac:dyDescent="0.35">
      <c r="A739" s="2"/>
    </row>
    <row r="740" spans="1:1" x14ac:dyDescent="0.35">
      <c r="A740" s="2"/>
    </row>
    <row r="741" spans="1:1" x14ac:dyDescent="0.35">
      <c r="A741" s="2"/>
    </row>
    <row r="742" spans="1:1" x14ac:dyDescent="0.35">
      <c r="A742" s="2"/>
    </row>
    <row r="743" spans="1:1" x14ac:dyDescent="0.35">
      <c r="A743" s="2"/>
    </row>
    <row r="744" spans="1:1" x14ac:dyDescent="0.35">
      <c r="A744" s="2"/>
    </row>
    <row r="745" spans="1:1" x14ac:dyDescent="0.35">
      <c r="A745" s="2"/>
    </row>
    <row r="746" spans="1:1" x14ac:dyDescent="0.35">
      <c r="A746" s="2"/>
    </row>
    <row r="747" spans="1:1" x14ac:dyDescent="0.35">
      <c r="A747" s="2"/>
    </row>
    <row r="748" spans="1:1" x14ac:dyDescent="0.35">
      <c r="A748" s="2"/>
    </row>
    <row r="749" spans="1:1" x14ac:dyDescent="0.35">
      <c r="A749" s="2"/>
    </row>
    <row r="750" spans="1:1" x14ac:dyDescent="0.35">
      <c r="A750" s="2"/>
    </row>
    <row r="751" spans="1:1" x14ac:dyDescent="0.35">
      <c r="A751" s="2"/>
    </row>
    <row r="752" spans="1:1" x14ac:dyDescent="0.35">
      <c r="A752" s="2"/>
    </row>
    <row r="753" spans="1:1" x14ac:dyDescent="0.35">
      <c r="A753" s="2"/>
    </row>
    <row r="754" spans="1:1" x14ac:dyDescent="0.35">
      <c r="A754" s="2"/>
    </row>
    <row r="755" spans="1:1" x14ac:dyDescent="0.35">
      <c r="A755" s="2"/>
    </row>
    <row r="756" spans="1:1" x14ac:dyDescent="0.35">
      <c r="A756" s="2"/>
    </row>
    <row r="757" spans="1:1" x14ac:dyDescent="0.35">
      <c r="A757" s="2"/>
    </row>
    <row r="758" spans="1:1" x14ac:dyDescent="0.35">
      <c r="A758" s="2"/>
    </row>
    <row r="759" spans="1:1" x14ac:dyDescent="0.35">
      <c r="A759" s="2"/>
    </row>
    <row r="760" spans="1:1" x14ac:dyDescent="0.35">
      <c r="A760" s="2"/>
    </row>
    <row r="761" spans="1:1" x14ac:dyDescent="0.35">
      <c r="A761" s="2"/>
    </row>
    <row r="762" spans="1:1" x14ac:dyDescent="0.35">
      <c r="A762" s="2"/>
    </row>
    <row r="763" spans="1:1" x14ac:dyDescent="0.35">
      <c r="A763" s="2"/>
    </row>
    <row r="764" spans="1:1" x14ac:dyDescent="0.35">
      <c r="A764" s="2"/>
    </row>
    <row r="765" spans="1:1" x14ac:dyDescent="0.35">
      <c r="A765" s="2"/>
    </row>
    <row r="766" spans="1:1" x14ac:dyDescent="0.35">
      <c r="A766" s="2"/>
    </row>
    <row r="767" spans="1:1" x14ac:dyDescent="0.35">
      <c r="A767" s="2"/>
    </row>
    <row r="768" spans="1:1" x14ac:dyDescent="0.35">
      <c r="A768" s="2"/>
    </row>
    <row r="769" spans="1:1" x14ac:dyDescent="0.35">
      <c r="A769" s="2"/>
    </row>
    <row r="770" spans="1:1" x14ac:dyDescent="0.35">
      <c r="A770" s="2"/>
    </row>
    <row r="771" spans="1:1" x14ac:dyDescent="0.35">
      <c r="A771" s="2"/>
    </row>
    <row r="772" spans="1:1" x14ac:dyDescent="0.35">
      <c r="A772" s="2"/>
    </row>
    <row r="773" spans="1:1" x14ac:dyDescent="0.35">
      <c r="A773" s="2"/>
    </row>
    <row r="774" spans="1:1" x14ac:dyDescent="0.35">
      <c r="A774" s="2"/>
    </row>
    <row r="775" spans="1:1" x14ac:dyDescent="0.35">
      <c r="A775" s="2"/>
    </row>
    <row r="776" spans="1:1" x14ac:dyDescent="0.35">
      <c r="A776" s="2"/>
    </row>
    <row r="777" spans="1:1" x14ac:dyDescent="0.35">
      <c r="A777" s="2"/>
    </row>
    <row r="778" spans="1:1" x14ac:dyDescent="0.35">
      <c r="A778" s="2"/>
    </row>
    <row r="779" spans="1:1" x14ac:dyDescent="0.35">
      <c r="A779" s="2"/>
    </row>
    <row r="780" spans="1:1" x14ac:dyDescent="0.35">
      <c r="A780" s="2"/>
    </row>
    <row r="781" spans="1:1" x14ac:dyDescent="0.35">
      <c r="A781" s="2"/>
    </row>
    <row r="782" spans="1:1" x14ac:dyDescent="0.35">
      <c r="A782" s="2"/>
    </row>
    <row r="783" spans="1:1" x14ac:dyDescent="0.35">
      <c r="A783" s="2"/>
    </row>
    <row r="784" spans="1:1" x14ac:dyDescent="0.35">
      <c r="A784" s="2"/>
    </row>
    <row r="785" spans="1:1" x14ac:dyDescent="0.35">
      <c r="A785" s="2"/>
    </row>
    <row r="786" spans="1:1" x14ac:dyDescent="0.35">
      <c r="A786" s="2"/>
    </row>
    <row r="787" spans="1:1" x14ac:dyDescent="0.35">
      <c r="A787" s="2"/>
    </row>
    <row r="788" spans="1:1" x14ac:dyDescent="0.35">
      <c r="A788" s="2"/>
    </row>
    <row r="789" spans="1:1" x14ac:dyDescent="0.35">
      <c r="A789" s="2"/>
    </row>
    <row r="790" spans="1:1" x14ac:dyDescent="0.35">
      <c r="A790" s="2"/>
    </row>
    <row r="791" spans="1:1" x14ac:dyDescent="0.35">
      <c r="A791" s="2"/>
    </row>
    <row r="792" spans="1:1" x14ac:dyDescent="0.35">
      <c r="A792" s="2"/>
    </row>
    <row r="793" spans="1:1" x14ac:dyDescent="0.35">
      <c r="A793" s="2"/>
    </row>
    <row r="794" spans="1:1" x14ac:dyDescent="0.35">
      <c r="A794" s="2"/>
    </row>
    <row r="795" spans="1:1" x14ac:dyDescent="0.35">
      <c r="A795" s="2"/>
    </row>
    <row r="796" spans="1:1" x14ac:dyDescent="0.35">
      <c r="A796" s="2"/>
    </row>
    <row r="797" spans="1:1" x14ac:dyDescent="0.35">
      <c r="A797" s="2"/>
    </row>
    <row r="798" spans="1:1" x14ac:dyDescent="0.35">
      <c r="A798" s="2"/>
    </row>
    <row r="799" spans="1:1" x14ac:dyDescent="0.35">
      <c r="A799" s="2"/>
    </row>
    <row r="800" spans="1:1" x14ac:dyDescent="0.35">
      <c r="A800" s="2"/>
    </row>
    <row r="801" spans="1:1" x14ac:dyDescent="0.35">
      <c r="A801" s="2"/>
    </row>
    <row r="802" spans="1:1" x14ac:dyDescent="0.35">
      <c r="A802" s="2"/>
    </row>
    <row r="803" spans="1:1" x14ac:dyDescent="0.35">
      <c r="A803" s="2"/>
    </row>
    <row r="804" spans="1:1" x14ac:dyDescent="0.35">
      <c r="A804" s="2"/>
    </row>
    <row r="805" spans="1:1" x14ac:dyDescent="0.35">
      <c r="A805" s="2"/>
    </row>
    <row r="806" spans="1:1" x14ac:dyDescent="0.35">
      <c r="A806" s="2"/>
    </row>
    <row r="807" spans="1:1" x14ac:dyDescent="0.35">
      <c r="A807" s="2"/>
    </row>
    <row r="808" spans="1:1" x14ac:dyDescent="0.35">
      <c r="A808" s="2"/>
    </row>
    <row r="809" spans="1:1" x14ac:dyDescent="0.35">
      <c r="A809" s="2"/>
    </row>
    <row r="810" spans="1:1" x14ac:dyDescent="0.35">
      <c r="A810" s="2"/>
    </row>
    <row r="811" spans="1:1" x14ac:dyDescent="0.35">
      <c r="A811" s="2"/>
    </row>
    <row r="812" spans="1:1" x14ac:dyDescent="0.35">
      <c r="A812" s="2"/>
    </row>
    <row r="813" spans="1:1" x14ac:dyDescent="0.35">
      <c r="A813" s="2"/>
    </row>
    <row r="814" spans="1:1" x14ac:dyDescent="0.35">
      <c r="A814" s="2"/>
    </row>
    <row r="815" spans="1:1" x14ac:dyDescent="0.35">
      <c r="A815" s="2"/>
    </row>
    <row r="816" spans="1:1" x14ac:dyDescent="0.35">
      <c r="A816" s="2"/>
    </row>
    <row r="817" spans="1:1" x14ac:dyDescent="0.35">
      <c r="A817" s="2"/>
    </row>
    <row r="818" spans="1:1" x14ac:dyDescent="0.35">
      <c r="A818" s="2"/>
    </row>
    <row r="819" spans="1:1" x14ac:dyDescent="0.35">
      <c r="A819" s="2"/>
    </row>
    <row r="820" spans="1:1" x14ac:dyDescent="0.35">
      <c r="A820" s="2"/>
    </row>
    <row r="821" spans="1:1" x14ac:dyDescent="0.35">
      <c r="A821" s="2"/>
    </row>
    <row r="822" spans="1:1" x14ac:dyDescent="0.35">
      <c r="A822" s="2"/>
    </row>
    <row r="823" spans="1:1" x14ac:dyDescent="0.35">
      <c r="A823" s="2"/>
    </row>
    <row r="824" spans="1:1" x14ac:dyDescent="0.35">
      <c r="A824" s="2"/>
    </row>
    <row r="825" spans="1:1" x14ac:dyDescent="0.35">
      <c r="A825" s="2"/>
    </row>
    <row r="826" spans="1:1" x14ac:dyDescent="0.35">
      <c r="A826" s="2"/>
    </row>
    <row r="827" spans="1:1" x14ac:dyDescent="0.35">
      <c r="A827" s="2"/>
    </row>
    <row r="828" spans="1:1" x14ac:dyDescent="0.35">
      <c r="A828" s="2"/>
    </row>
    <row r="829" spans="1:1" x14ac:dyDescent="0.35">
      <c r="A829" s="2"/>
    </row>
    <row r="830" spans="1:1" x14ac:dyDescent="0.35">
      <c r="A830" s="2"/>
    </row>
    <row r="831" spans="1:1" x14ac:dyDescent="0.35">
      <c r="A831" s="2"/>
    </row>
    <row r="832" spans="1:1" x14ac:dyDescent="0.35">
      <c r="A832" s="2"/>
    </row>
    <row r="833" spans="1:1" x14ac:dyDescent="0.35">
      <c r="A833" s="2"/>
    </row>
    <row r="834" spans="1:1" x14ac:dyDescent="0.35">
      <c r="A834" s="2"/>
    </row>
    <row r="835" spans="1:1" x14ac:dyDescent="0.35">
      <c r="A835" s="2"/>
    </row>
    <row r="836" spans="1:1" x14ac:dyDescent="0.35">
      <c r="A836" s="2"/>
    </row>
    <row r="837" spans="1:1" x14ac:dyDescent="0.35">
      <c r="A837" s="2"/>
    </row>
    <row r="838" spans="1:1" x14ac:dyDescent="0.35">
      <c r="A838" s="2"/>
    </row>
    <row r="839" spans="1:1" x14ac:dyDescent="0.35">
      <c r="A839" s="2"/>
    </row>
    <row r="840" spans="1:1" x14ac:dyDescent="0.35">
      <c r="A840" s="2"/>
    </row>
    <row r="841" spans="1:1" x14ac:dyDescent="0.35">
      <c r="A841" s="2"/>
    </row>
    <row r="842" spans="1:1" x14ac:dyDescent="0.35">
      <c r="A842" s="2"/>
    </row>
    <row r="843" spans="1:1" x14ac:dyDescent="0.35">
      <c r="A843" s="2"/>
    </row>
    <row r="844" spans="1:1" x14ac:dyDescent="0.35">
      <c r="A844" s="2"/>
    </row>
    <row r="845" spans="1:1" x14ac:dyDescent="0.35">
      <c r="A845" s="2"/>
    </row>
    <row r="846" spans="1:1" x14ac:dyDescent="0.35">
      <c r="A846" s="2"/>
    </row>
    <row r="847" spans="1:1" x14ac:dyDescent="0.35">
      <c r="A847" s="2"/>
    </row>
    <row r="848" spans="1:1" x14ac:dyDescent="0.35">
      <c r="A848" s="2"/>
    </row>
    <row r="849" spans="1:1" x14ac:dyDescent="0.35">
      <c r="A849" s="2"/>
    </row>
    <row r="850" spans="1:1" x14ac:dyDescent="0.35">
      <c r="A850" s="2"/>
    </row>
    <row r="851" spans="1:1" x14ac:dyDescent="0.35">
      <c r="A851" s="2"/>
    </row>
    <row r="852" spans="1:1" x14ac:dyDescent="0.35">
      <c r="A852" s="2"/>
    </row>
    <row r="853" spans="1:1" x14ac:dyDescent="0.35">
      <c r="A853" s="2"/>
    </row>
    <row r="854" spans="1:1" x14ac:dyDescent="0.35">
      <c r="A854" s="2"/>
    </row>
    <row r="855" spans="1:1" x14ac:dyDescent="0.35">
      <c r="A855" s="2"/>
    </row>
    <row r="856" spans="1:1" x14ac:dyDescent="0.35">
      <c r="A856" s="2"/>
    </row>
    <row r="857" spans="1:1" x14ac:dyDescent="0.35">
      <c r="A857" s="2"/>
    </row>
    <row r="858" spans="1:1" x14ac:dyDescent="0.35">
      <c r="A858" s="2"/>
    </row>
    <row r="859" spans="1:1" x14ac:dyDescent="0.35">
      <c r="A859" s="2"/>
    </row>
    <row r="860" spans="1:1" x14ac:dyDescent="0.35">
      <c r="A860" s="2"/>
    </row>
    <row r="861" spans="1:1" x14ac:dyDescent="0.35">
      <c r="A861" s="2"/>
    </row>
    <row r="862" spans="1:1" x14ac:dyDescent="0.35">
      <c r="A862" s="2"/>
    </row>
    <row r="863" spans="1:1" x14ac:dyDescent="0.35">
      <c r="A863" s="2"/>
    </row>
    <row r="864" spans="1:1" x14ac:dyDescent="0.35">
      <c r="A864" s="2"/>
    </row>
    <row r="865" spans="1:1" x14ac:dyDescent="0.35">
      <c r="A865" s="2"/>
    </row>
    <row r="866" spans="1:1" x14ac:dyDescent="0.35">
      <c r="A866" s="2"/>
    </row>
    <row r="867" spans="1:1" x14ac:dyDescent="0.35">
      <c r="A867" s="2"/>
    </row>
    <row r="868" spans="1:1" x14ac:dyDescent="0.35">
      <c r="A868" s="2"/>
    </row>
    <row r="869" spans="1:1" x14ac:dyDescent="0.35">
      <c r="A869" s="2"/>
    </row>
    <row r="870" spans="1:1" x14ac:dyDescent="0.35">
      <c r="A870" s="2"/>
    </row>
    <row r="871" spans="1:1" x14ac:dyDescent="0.35">
      <c r="A871" s="2"/>
    </row>
    <row r="872" spans="1:1" x14ac:dyDescent="0.35">
      <c r="A872" s="2"/>
    </row>
    <row r="873" spans="1:1" x14ac:dyDescent="0.35">
      <c r="A873" s="2"/>
    </row>
    <row r="874" spans="1:1" x14ac:dyDescent="0.35">
      <c r="A874" s="2"/>
    </row>
    <row r="875" spans="1:1" x14ac:dyDescent="0.35">
      <c r="A875" s="2"/>
    </row>
    <row r="876" spans="1:1" x14ac:dyDescent="0.35">
      <c r="A876" s="2"/>
    </row>
    <row r="877" spans="1:1" x14ac:dyDescent="0.35">
      <c r="A877" s="2"/>
    </row>
    <row r="878" spans="1:1" x14ac:dyDescent="0.35">
      <c r="A878" s="2"/>
    </row>
    <row r="879" spans="1:1" x14ac:dyDescent="0.35">
      <c r="A879" s="2"/>
    </row>
    <row r="880" spans="1:1" x14ac:dyDescent="0.35">
      <c r="A880" s="2"/>
    </row>
    <row r="881" spans="1:1" x14ac:dyDescent="0.35">
      <c r="A881" s="2"/>
    </row>
    <row r="882" spans="1:1" x14ac:dyDescent="0.35">
      <c r="A882" s="2"/>
    </row>
    <row r="883" spans="1:1" x14ac:dyDescent="0.35">
      <c r="A883" s="2"/>
    </row>
    <row r="884" spans="1:1" x14ac:dyDescent="0.35">
      <c r="A884" s="2"/>
    </row>
    <row r="885" spans="1:1" x14ac:dyDescent="0.35">
      <c r="A885" s="2"/>
    </row>
    <row r="886" spans="1:1" x14ac:dyDescent="0.35">
      <c r="A886" s="2"/>
    </row>
    <row r="887" spans="1:1" x14ac:dyDescent="0.35">
      <c r="A887" s="2"/>
    </row>
    <row r="888" spans="1:1" x14ac:dyDescent="0.35">
      <c r="A888" s="2"/>
    </row>
    <row r="889" spans="1:1" x14ac:dyDescent="0.35">
      <c r="A889" s="2"/>
    </row>
    <row r="890" spans="1:1" x14ac:dyDescent="0.35">
      <c r="A890" s="2"/>
    </row>
    <row r="891" spans="1:1" x14ac:dyDescent="0.35">
      <c r="A891" s="2"/>
    </row>
    <row r="892" spans="1:1" x14ac:dyDescent="0.35">
      <c r="A892" s="2"/>
    </row>
    <row r="893" spans="1:1" x14ac:dyDescent="0.35">
      <c r="A893" s="2"/>
    </row>
    <row r="894" spans="1:1" x14ac:dyDescent="0.35">
      <c r="A894" s="2"/>
    </row>
    <row r="895" spans="1:1" x14ac:dyDescent="0.35">
      <c r="A895" s="2"/>
    </row>
    <row r="896" spans="1:1" x14ac:dyDescent="0.35">
      <c r="A896" s="2"/>
    </row>
    <row r="897" spans="1:1" x14ac:dyDescent="0.35">
      <c r="A897" s="2"/>
    </row>
    <row r="898" spans="1:1" x14ac:dyDescent="0.35">
      <c r="A898" s="2"/>
    </row>
    <row r="899" spans="1:1" x14ac:dyDescent="0.35">
      <c r="A899" s="2"/>
    </row>
    <row r="900" spans="1:1" x14ac:dyDescent="0.35">
      <c r="A900" s="2"/>
    </row>
    <row r="901" spans="1:1" x14ac:dyDescent="0.35">
      <c r="A901" s="2"/>
    </row>
    <row r="902" spans="1:1" x14ac:dyDescent="0.35">
      <c r="A902" s="2"/>
    </row>
    <row r="903" spans="1:1" x14ac:dyDescent="0.35">
      <c r="A903" s="2"/>
    </row>
    <row r="904" spans="1:1" x14ac:dyDescent="0.35">
      <c r="A904" s="2"/>
    </row>
    <row r="905" spans="1:1" x14ac:dyDescent="0.35">
      <c r="A905" s="2"/>
    </row>
    <row r="906" spans="1:1" x14ac:dyDescent="0.35">
      <c r="A906" s="2"/>
    </row>
    <row r="907" spans="1:1" x14ac:dyDescent="0.35">
      <c r="A907" s="2"/>
    </row>
    <row r="908" spans="1:1" x14ac:dyDescent="0.35">
      <c r="A908" s="2"/>
    </row>
    <row r="909" spans="1:1" x14ac:dyDescent="0.35">
      <c r="A909" s="2"/>
    </row>
    <row r="910" spans="1:1" x14ac:dyDescent="0.35">
      <c r="A910" s="2"/>
    </row>
    <row r="911" spans="1:1" x14ac:dyDescent="0.35">
      <c r="A911" s="2"/>
    </row>
    <row r="912" spans="1:1" x14ac:dyDescent="0.35">
      <c r="A912" s="2"/>
    </row>
    <row r="913" spans="1:1" x14ac:dyDescent="0.35">
      <c r="A913" s="2"/>
    </row>
    <row r="914" spans="1:1" x14ac:dyDescent="0.35">
      <c r="A914" s="2"/>
    </row>
    <row r="915" spans="1:1" x14ac:dyDescent="0.35">
      <c r="A915" s="2"/>
    </row>
    <row r="916" spans="1:1" x14ac:dyDescent="0.35">
      <c r="A916" s="2"/>
    </row>
    <row r="917" spans="1:1" x14ac:dyDescent="0.35">
      <c r="A917" s="2"/>
    </row>
    <row r="918" spans="1:1" x14ac:dyDescent="0.35">
      <c r="A918" s="2"/>
    </row>
    <row r="919" spans="1:1" x14ac:dyDescent="0.35">
      <c r="A919" s="2"/>
    </row>
    <row r="920" spans="1:1" x14ac:dyDescent="0.35">
      <c r="A920" s="2"/>
    </row>
    <row r="921" spans="1:1" x14ac:dyDescent="0.35">
      <c r="A921" s="2"/>
    </row>
    <row r="922" spans="1:1" x14ac:dyDescent="0.35">
      <c r="A922" s="2"/>
    </row>
    <row r="923" spans="1:1" x14ac:dyDescent="0.35">
      <c r="A923" s="2"/>
    </row>
    <row r="924" spans="1:1" x14ac:dyDescent="0.35">
      <c r="A924" s="2"/>
    </row>
    <row r="925" spans="1:1" x14ac:dyDescent="0.35">
      <c r="A925" s="2"/>
    </row>
    <row r="926" spans="1:1" x14ac:dyDescent="0.35">
      <c r="A926" s="2"/>
    </row>
    <row r="927" spans="1:1" x14ac:dyDescent="0.35">
      <c r="A927" s="2"/>
    </row>
    <row r="928" spans="1:1" x14ac:dyDescent="0.35">
      <c r="A928" s="2"/>
    </row>
    <row r="929" spans="1:1" x14ac:dyDescent="0.35">
      <c r="A929" s="2"/>
    </row>
    <row r="930" spans="1:1" x14ac:dyDescent="0.35">
      <c r="A930" s="2"/>
    </row>
    <row r="931" spans="1:1" x14ac:dyDescent="0.35">
      <c r="A931" s="2"/>
    </row>
    <row r="932" spans="1:1" x14ac:dyDescent="0.35">
      <c r="A932" s="2"/>
    </row>
    <row r="933" spans="1:1" x14ac:dyDescent="0.35">
      <c r="A933" s="2"/>
    </row>
    <row r="934" spans="1:1" x14ac:dyDescent="0.35">
      <c r="A934" s="2"/>
    </row>
    <row r="935" spans="1:1" x14ac:dyDescent="0.35">
      <c r="A935" s="2"/>
    </row>
    <row r="936" spans="1:1" x14ac:dyDescent="0.35">
      <c r="A936" s="2"/>
    </row>
    <row r="937" spans="1:1" x14ac:dyDescent="0.35">
      <c r="A937" s="2"/>
    </row>
    <row r="938" spans="1:1" x14ac:dyDescent="0.35">
      <c r="A938" s="2"/>
    </row>
    <row r="939" spans="1:1" x14ac:dyDescent="0.35">
      <c r="A939" s="2"/>
    </row>
    <row r="940" spans="1:1" x14ac:dyDescent="0.35">
      <c r="A940" s="2"/>
    </row>
    <row r="941" spans="1:1" x14ac:dyDescent="0.35">
      <c r="A941" s="2"/>
    </row>
    <row r="942" spans="1:1" x14ac:dyDescent="0.35">
      <c r="A942" s="2"/>
    </row>
    <row r="943" spans="1:1" x14ac:dyDescent="0.35">
      <c r="A943" s="2"/>
    </row>
    <row r="944" spans="1:1" x14ac:dyDescent="0.35">
      <c r="A944" s="2"/>
    </row>
    <row r="945" spans="1:1" x14ac:dyDescent="0.35">
      <c r="A945" s="2"/>
    </row>
    <row r="946" spans="1:1" x14ac:dyDescent="0.35">
      <c r="A946" s="2"/>
    </row>
    <row r="947" spans="1:1" x14ac:dyDescent="0.35">
      <c r="A947" s="2"/>
    </row>
    <row r="948" spans="1:1" x14ac:dyDescent="0.35">
      <c r="A948" s="2"/>
    </row>
    <row r="949" spans="1:1" x14ac:dyDescent="0.35">
      <c r="A949" s="2"/>
    </row>
    <row r="950" spans="1:1" x14ac:dyDescent="0.35">
      <c r="A950" s="2"/>
    </row>
    <row r="951" spans="1:1" x14ac:dyDescent="0.35">
      <c r="A951" s="2"/>
    </row>
    <row r="952" spans="1:1" x14ac:dyDescent="0.35">
      <c r="A952" s="2"/>
    </row>
    <row r="953" spans="1:1" x14ac:dyDescent="0.35">
      <c r="A953" s="2"/>
    </row>
    <row r="954" spans="1:1" x14ac:dyDescent="0.35">
      <c r="A954" s="2"/>
    </row>
    <row r="955" spans="1:1" x14ac:dyDescent="0.35">
      <c r="A955" s="2"/>
    </row>
    <row r="956" spans="1:1" x14ac:dyDescent="0.35">
      <c r="A956" s="2"/>
    </row>
    <row r="957" spans="1:1" x14ac:dyDescent="0.35">
      <c r="A957" s="2"/>
    </row>
    <row r="958" spans="1:1" x14ac:dyDescent="0.35">
      <c r="A958" s="2"/>
    </row>
    <row r="959" spans="1:1" x14ac:dyDescent="0.35">
      <c r="A959" s="2"/>
    </row>
    <row r="960" spans="1:1" x14ac:dyDescent="0.35">
      <c r="A960" s="2"/>
    </row>
    <row r="961" spans="1:1" x14ac:dyDescent="0.35">
      <c r="A961" s="2"/>
    </row>
    <row r="962" spans="1:1" x14ac:dyDescent="0.35">
      <c r="A962" s="2"/>
    </row>
    <row r="963" spans="1:1" x14ac:dyDescent="0.35">
      <c r="A963" s="2"/>
    </row>
    <row r="964" spans="1:1" x14ac:dyDescent="0.35">
      <c r="A964" s="2"/>
    </row>
    <row r="965" spans="1:1" x14ac:dyDescent="0.35">
      <c r="A965" s="2"/>
    </row>
    <row r="966" spans="1:1" x14ac:dyDescent="0.35">
      <c r="A966" s="2"/>
    </row>
    <row r="967" spans="1:1" x14ac:dyDescent="0.35">
      <c r="A967" s="2"/>
    </row>
    <row r="968" spans="1:1" x14ac:dyDescent="0.35">
      <c r="A968" s="2"/>
    </row>
    <row r="969" spans="1:1" x14ac:dyDescent="0.35">
      <c r="A969" s="2"/>
    </row>
    <row r="970" spans="1:1" x14ac:dyDescent="0.35">
      <c r="A970" s="2"/>
    </row>
    <row r="971" spans="1:1" x14ac:dyDescent="0.35">
      <c r="A971" s="2"/>
    </row>
    <row r="972" spans="1:1" x14ac:dyDescent="0.35">
      <c r="A972" s="2"/>
    </row>
    <row r="973" spans="1:1" x14ac:dyDescent="0.35">
      <c r="A973" s="2"/>
    </row>
    <row r="974" spans="1:1" x14ac:dyDescent="0.35">
      <c r="A974" s="2"/>
    </row>
    <row r="975" spans="1:1" x14ac:dyDescent="0.35">
      <c r="A975" s="2"/>
    </row>
    <row r="976" spans="1:1" x14ac:dyDescent="0.35">
      <c r="A976" s="2"/>
    </row>
    <row r="977" spans="1:1" x14ac:dyDescent="0.35">
      <c r="A977" s="2"/>
    </row>
    <row r="978" spans="1:1" x14ac:dyDescent="0.35">
      <c r="A978" s="2"/>
    </row>
    <row r="979" spans="1:1" x14ac:dyDescent="0.35">
      <c r="A979" s="2"/>
    </row>
    <row r="980" spans="1:1" x14ac:dyDescent="0.35">
      <c r="A980" s="2"/>
    </row>
    <row r="981" spans="1:1" x14ac:dyDescent="0.35">
      <c r="A981" s="2"/>
    </row>
    <row r="982" spans="1:1" x14ac:dyDescent="0.35">
      <c r="A982" s="2"/>
    </row>
    <row r="983" spans="1:1" x14ac:dyDescent="0.35">
      <c r="A983" s="2"/>
    </row>
    <row r="984" spans="1:1" x14ac:dyDescent="0.35">
      <c r="A984" s="2"/>
    </row>
    <row r="985" spans="1:1" x14ac:dyDescent="0.35">
      <c r="A985" s="2"/>
    </row>
    <row r="986" spans="1:1" x14ac:dyDescent="0.35">
      <c r="A986" s="2"/>
    </row>
    <row r="987" spans="1:1" x14ac:dyDescent="0.35">
      <c r="A987" s="2"/>
    </row>
    <row r="988" spans="1:1" x14ac:dyDescent="0.35">
      <c r="A988" s="2"/>
    </row>
    <row r="989" spans="1:1" x14ac:dyDescent="0.35">
      <c r="A989" s="2"/>
    </row>
    <row r="990" spans="1:1" x14ac:dyDescent="0.35">
      <c r="A990" s="2"/>
    </row>
    <row r="991" spans="1:1" x14ac:dyDescent="0.35">
      <c r="A991" s="2"/>
    </row>
    <row r="992" spans="1:1" x14ac:dyDescent="0.35">
      <c r="A992" s="2"/>
    </row>
    <row r="993" spans="1:1" x14ac:dyDescent="0.35">
      <c r="A993" s="2"/>
    </row>
    <row r="994" spans="1:1" x14ac:dyDescent="0.35">
      <c r="A994" s="2"/>
    </row>
    <row r="995" spans="1:1" x14ac:dyDescent="0.35">
      <c r="A995" s="2"/>
    </row>
    <row r="996" spans="1:1" x14ac:dyDescent="0.35">
      <c r="A996" s="2"/>
    </row>
  </sheetData>
  <phoneticPr fontId="8" type="noConversion"/>
  <dataValidations count="1">
    <dataValidation type="list" allowBlank="1" showInputMessage="1" showErrorMessage="1" sqref="C2 C8:C9 C12:C17">
      <formula1>"Pending, Completed"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Healthcare_Sales_Dataset</vt:lpstr>
      <vt:lpstr>Assessment Guidelines</vt:lpstr>
      <vt:lpstr>Solution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Shivam Mahajan</dc:creator>
  <cp:keywords/>
  <dc:description/>
  <cp:lastModifiedBy>admin</cp:lastModifiedBy>
  <cp:revision/>
  <dcterms:created xsi:type="dcterms:W3CDTF">2025-09-23T13:49:17Z</dcterms:created>
  <dcterms:modified xsi:type="dcterms:W3CDTF">2026-06-05T08:12:44Z</dcterms:modified>
  <cp:category/>
  <cp:contentStatus/>
</cp:coreProperties>
</file>